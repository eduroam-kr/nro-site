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isti\Downloads\"/>
    </mc:Choice>
  </mc:AlternateContent>
  <xr:revisionPtr revIDLastSave="0" documentId="13_ncr:1_{DB89924E-DE17-434C-9D12-08495964CFBD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inst" sheetId="1" r:id="rId1"/>
    <sheet name="campus" sheetId="2" r:id="rId2"/>
    <sheet name="locations" sheetId="3" r:id="rId3"/>
  </sheets>
  <definedNames>
    <definedName name="_xlnm._FilterDatabase" localSheetId="1" hidden="1">campus!$A$1:$C$171</definedName>
    <definedName name="_xlnm._FilterDatabase" localSheetId="0" hidden="1">inst!$A$1:$E$109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1" i="2" l="1"/>
  <c r="I170" i="2"/>
  <c r="I169" i="2"/>
  <c r="I159" i="2"/>
  <c r="I136" i="2"/>
  <c r="I135" i="2"/>
  <c r="I134" i="2"/>
  <c r="I128" i="2"/>
  <c r="I119" i="2"/>
  <c r="I112" i="2"/>
  <c r="I110" i="2"/>
  <c r="I109" i="2"/>
  <c r="I108" i="2"/>
  <c r="I106" i="2"/>
  <c r="I104" i="2"/>
  <c r="I96" i="2"/>
  <c r="I95" i="2"/>
  <c r="I92" i="2"/>
  <c r="I91" i="2"/>
  <c r="I90" i="2"/>
  <c r="I89" i="2"/>
  <c r="I86" i="2"/>
  <c r="I85" i="2"/>
  <c r="I84" i="2"/>
  <c r="I83" i="2"/>
  <c r="I81" i="2"/>
  <c r="I79" i="2"/>
  <c r="I77" i="2"/>
  <c r="I76" i="2"/>
  <c r="I75" i="2"/>
  <c r="I74" i="2"/>
  <c r="I60" i="2"/>
  <c r="I59" i="2"/>
  <c r="I49" i="2"/>
  <c r="I48" i="2"/>
  <c r="I45" i="2"/>
  <c r="I44" i="2"/>
  <c r="I43" i="2"/>
  <c r="I42" i="2"/>
  <c r="I41" i="2"/>
  <c r="I40" i="2"/>
  <c r="I31" i="2"/>
  <c r="I30" i="2"/>
  <c r="I29" i="2"/>
  <c r="I28" i="2"/>
  <c r="I22" i="2"/>
  <c r="I21" i="2"/>
  <c r="I12" i="2"/>
  <c r="I11" i="2"/>
  <c r="I10" i="2"/>
  <c r="I9" i="2"/>
</calcChain>
</file>

<file path=xl/sharedStrings.xml><?xml version="1.0" encoding="utf-8"?>
<sst xmlns="http://schemas.openxmlformats.org/spreadsheetml/2006/main" count="3135" uniqueCount="1505">
  <si>
    <t>univ_type</t>
  </si>
  <si>
    <t>univ_name_ko</t>
  </si>
  <si>
    <t>logo_url</t>
  </si>
  <si>
    <t>realm</t>
  </si>
  <si>
    <t>guide_url</t>
  </si>
  <si>
    <t>univ_name_en</t>
  </si>
  <si>
    <t>구분</t>
  </si>
  <si>
    <t>기타</t>
  </si>
  <si>
    <t>KDI국제정책대학원대학교</t>
  </si>
  <si>
    <t>kdis_ac_kr.png</t>
  </si>
  <si>
    <t>kdis.ac.kr</t>
  </si>
  <si>
    <t>https://www.kdischool.ac.kr/</t>
  </si>
  <si>
    <t>KDISCHOOL</t>
  </si>
  <si>
    <t>IdP+SP</t>
  </si>
  <si>
    <t>사립</t>
  </si>
  <si>
    <t>가천대학교</t>
  </si>
  <si>
    <t>gachon_ac_kr.png</t>
  </si>
  <si>
    <t>gachon.ac.kr</t>
  </si>
  <si>
    <t>https://www.gachon.ac.kr/ist/2990/subview.do</t>
  </si>
  <si>
    <t>Gachon University</t>
  </si>
  <si>
    <t>국립</t>
  </si>
  <si>
    <t>강릉원주대학교</t>
  </si>
  <si>
    <t>gwnu_ac_kr.png</t>
  </si>
  <si>
    <t>gwnu.ac.kr</t>
  </si>
  <si>
    <t>Gangneung-Wonju National University</t>
  </si>
  <si>
    <t>강원대학교</t>
  </si>
  <si>
    <t>kangwon_ac_kr.png</t>
  </si>
  <si>
    <t>kangwon.ac.kr</t>
  </si>
  <si>
    <t>Kangwon National University</t>
  </si>
  <si>
    <t>건국대학교</t>
  </si>
  <si>
    <t>konkuk_ac_kr.png</t>
  </si>
  <si>
    <t>konkuk.ac.kr, kku.ac.kr</t>
  </si>
  <si>
    <t>https://kuinc.konkuk.ac.kr/kuinc/15896/subview.do</t>
  </si>
  <si>
    <t>KONKUK University Glocal Campus</t>
  </si>
  <si>
    <t>건양대학교</t>
  </si>
  <si>
    <t>konyang_ac_kr.png</t>
  </si>
  <si>
    <t>konyang.ac.kr</t>
  </si>
  <si>
    <t>https://www.konyang.ac.kr/ict/sub02_02.do</t>
  </si>
  <si>
    <t>KONYANG</t>
  </si>
  <si>
    <t>경남대학교</t>
  </si>
  <si>
    <t>kyungnam_ac_kr.png</t>
  </si>
  <si>
    <t>kyungnam.ac.kr</t>
  </si>
  <si>
    <t>https://library.kyungnam.ac.kr/webcontent/info/52</t>
  </si>
  <si>
    <t>Kyungnam University</t>
  </si>
  <si>
    <t>경북대학교</t>
  </si>
  <si>
    <t>knu_ac_kr.png</t>
  </si>
  <si>
    <t>knu.ac.kr</t>
  </si>
  <si>
    <t>https://wifi.knu.ac.kr/</t>
  </si>
  <si>
    <t>Kyungpook National University</t>
  </si>
  <si>
    <t>경상국립대학교</t>
  </si>
  <si>
    <t>gnu_ac_kr.png</t>
  </si>
  <si>
    <t>gnu.ac.kr</t>
  </si>
  <si>
    <t>https://www.gnu.ac.kr/info/cm/cntnts/cntntsView.do?mi=8444&amp;cntntsId=4442</t>
  </si>
  <si>
    <t>Gyeongsang National University</t>
  </si>
  <si>
    <t>경인교육대학교</t>
  </si>
  <si>
    <t>ginue_ac_kr.png</t>
  </si>
  <si>
    <t>ginue.ac.kr</t>
  </si>
  <si>
    <t>https://www.ginue.ac.kr/kor/CMS/Contents/Contents.do?mCode=MN313</t>
  </si>
  <si>
    <t>Gyeongin national university of education</t>
  </si>
  <si>
    <t>kiu_ac_kr.png</t>
  </si>
  <si>
    <t>kiu.ac.kr</t>
  </si>
  <si>
    <t>Kyungil University</t>
  </si>
  <si>
    <t>경희대학교</t>
  </si>
  <si>
    <t>khu_ac_kr.png</t>
  </si>
  <si>
    <t>khu.ac.kr</t>
  </si>
  <si>
    <t>Kyunghee University</t>
  </si>
  <si>
    <t>계명대학교</t>
  </si>
  <si>
    <t>kmu_ac_kr.png</t>
  </si>
  <si>
    <t>kmu.ac.kr</t>
  </si>
  <si>
    <t>Keimyung University</t>
  </si>
  <si>
    <t>계명문화대학교</t>
  </si>
  <si>
    <t>kmcu_ac_kr.png</t>
  </si>
  <si>
    <t>kmcu.ac.kr</t>
  </si>
  <si>
    <t>https://www.kmcu.ac.kr/kr/index.php?pCode=wifi</t>
  </si>
  <si>
    <t>KEIMYUNG COLLEGE UNIVERSITY</t>
  </si>
  <si>
    <t>고려대학교</t>
  </si>
  <si>
    <t>korea_ac_kr.png</t>
  </si>
  <si>
    <t>korea.ac.kr</t>
  </si>
  <si>
    <t>http://wifi.korea.ac.kr/</t>
  </si>
  <si>
    <t>KOREA UNIVERSITY</t>
  </si>
  <si>
    <t>공주교육대학교</t>
  </si>
  <si>
    <t>gjue_ac_kr.png</t>
  </si>
  <si>
    <t>gjue.ac.kr</t>
  </si>
  <si>
    <t>https://www.gjue.ac.kr/kor/contents/68</t>
  </si>
  <si>
    <t>Gongju National University of Education</t>
  </si>
  <si>
    <t>과학기술연합대학원대학교</t>
  </si>
  <si>
    <t>ust_ac_kr.png</t>
  </si>
  <si>
    <t>ust.ac.kr</t>
  </si>
  <si>
    <t>UST</t>
  </si>
  <si>
    <t>광주교육대학교</t>
  </si>
  <si>
    <t>gnue_ac_kr.png</t>
  </si>
  <si>
    <t>gnue.ac.kr</t>
  </si>
  <si>
    <t>Gwangju National University of Education</t>
  </si>
  <si>
    <t>광주대학교</t>
  </si>
  <si>
    <t>gwangju_ac_kr.png</t>
  </si>
  <si>
    <t>gwangju.ac.kr</t>
  </si>
  <si>
    <t>http://icc.gwangju.ac.kr/icc/page/sub0401.html</t>
  </si>
  <si>
    <t>Gwangju University</t>
  </si>
  <si>
    <t>광주보건대학교</t>
  </si>
  <si>
    <t>ghu_ac_kr.png</t>
  </si>
  <si>
    <t>ghu.ac.kr</t>
  </si>
  <si>
    <t>https://www.ghu.ac.kr/LifeGhc/InfoMail.jsp</t>
  </si>
  <si>
    <t>Gwangju Health University</t>
  </si>
  <si>
    <t>광주여자대학교</t>
  </si>
  <si>
    <t>kwu_ac_kr.png</t>
  </si>
  <si>
    <t>kwu.ac.kr</t>
  </si>
  <si>
    <t>Kwangju Women's University</t>
  </si>
  <si>
    <t>국립공주대학교</t>
  </si>
  <si>
    <t>kongju_ac_kr.png</t>
  </si>
  <si>
    <t>kongju.ac.kr</t>
  </si>
  <si>
    <t>https://www.kongju.ac.kr/KNU/16898/subview.do</t>
  </si>
  <si>
    <t>Kongju National University</t>
  </si>
  <si>
    <t>국립한국교통대학교</t>
  </si>
  <si>
    <t>ut_ac_kr.png</t>
  </si>
  <si>
    <t>ut.ac.kr</t>
  </si>
  <si>
    <t>https://www.ut.ac.kr/kor/sub06_03_03_01.do</t>
  </si>
  <si>
    <t>Korea National University of Transportation</t>
  </si>
  <si>
    <t>국립한밭대학교</t>
  </si>
  <si>
    <t>hanbat_ac_kr.png</t>
  </si>
  <si>
    <t>hanbat.ac.kr</t>
  </si>
  <si>
    <t>https://www.hanbat.ac.kr/kor/sub06_080105.do</t>
  </si>
  <si>
    <t>HANBAT NATIONAL UNIVERSITY</t>
  </si>
  <si>
    <t>국민대학교</t>
  </si>
  <si>
    <t>kookmin_ac_kr.png</t>
  </si>
  <si>
    <t>kookmin.ac.kr</t>
  </si>
  <si>
    <t>https://kist.kookmin.ac.kr/kist_new/infra/ko.do</t>
  </si>
  <si>
    <t>KOOKMIN UNIVERSITY</t>
  </si>
  <si>
    <t>군산대학교</t>
  </si>
  <si>
    <t>kunsan_ac_kr.png</t>
  </si>
  <si>
    <t>kunsan.ac.kr</t>
  </si>
  <si>
    <t>https://www.kunsan.ac.kr/comcenter/index.kunsan?menuCd=DOM_000003802004002000</t>
  </si>
  <si>
    <t>Kunsan National University</t>
  </si>
  <si>
    <t>금오공과대학교</t>
  </si>
  <si>
    <t>kumoh_ac_kr.png</t>
  </si>
  <si>
    <t>kumoh.ac.kr</t>
  </si>
  <si>
    <t>https://cic.kumoh.ac.kr/cic/sub020202.do</t>
  </si>
  <si>
    <t>Kumoh National Institute of Technology</t>
  </si>
  <si>
    <t>나사렛대학교</t>
  </si>
  <si>
    <t>kornu_ac_kr.png</t>
  </si>
  <si>
    <t>kornu.ac.kr</t>
  </si>
  <si>
    <t>https://www.kornu.ac.kr/mbs/kornukr/subview.jsp?id=kornukr_071300000000</t>
  </si>
  <si>
    <t>Korea Nazarene University</t>
  </si>
  <si>
    <t>남부대학교</t>
  </si>
  <si>
    <t>nambu_ac_kr.png</t>
  </si>
  <si>
    <t>nambu.ac.kr</t>
  </si>
  <si>
    <t>https://se.nambu.ac.kr/content/view.do?menuCd=dept_se002001</t>
  </si>
  <si>
    <t>Nambu University</t>
  </si>
  <si>
    <t>단국대학교</t>
  </si>
  <si>
    <t>dankook_ac_kr.png</t>
  </si>
  <si>
    <t>dankook.ac.kr</t>
  </si>
  <si>
    <t>https://it4u.dankook.ac.kr/web/it4u/t-wifi-zone-</t>
  </si>
  <si>
    <t>Dankook University</t>
  </si>
  <si>
    <t>대구가톨릭대학교</t>
  </si>
  <si>
    <t>cu_ac_kr.png</t>
  </si>
  <si>
    <t>cu.ac.kr</t>
  </si>
  <si>
    <t>Daegu Catholic Univ</t>
  </si>
  <si>
    <t>특별법법인</t>
  </si>
  <si>
    <t>대구경북과학기술원</t>
  </si>
  <si>
    <t>dgist_ac_kr.png</t>
  </si>
  <si>
    <t>dgist.ac.kr</t>
  </si>
  <si>
    <t>Daegu Gyeongbuk Institute of Science and Technology</t>
  </si>
  <si>
    <t>대구교육대학교</t>
  </si>
  <si>
    <t>dnue_ac_kr.png</t>
  </si>
  <si>
    <t>dnue.ac.kr</t>
  </si>
  <si>
    <t>https://www.dnue.ac.kr/kor/CMS/Board/Board.do?mCode=MN168&amp;mode=view&amp;board_seq=14025</t>
  </si>
  <si>
    <t>Daegu National University of Education</t>
  </si>
  <si>
    <t>대구대학교</t>
  </si>
  <si>
    <t>daegu_ac_kr.png</t>
  </si>
  <si>
    <t>daegu.ac.kr</t>
  </si>
  <si>
    <t>https://www.daegu.ac.kr/page/153</t>
  </si>
  <si>
    <t>Daegu University</t>
  </si>
  <si>
    <t>대전대학교</t>
  </si>
  <si>
    <t>dju_ac_kr.png</t>
  </si>
  <si>
    <t>dju.ac.kr</t>
  </si>
  <si>
    <t>https://www.dju.ac.kr/dju/cm/cntnts/cntntsView.do?mi=6573&amp;cntntsId=4021</t>
  </si>
  <si>
    <t>Daejeon University</t>
  </si>
  <si>
    <t>대진대학교</t>
  </si>
  <si>
    <t>daejin_ac_kr.png</t>
  </si>
  <si>
    <t>daejin.ac.kr</t>
  </si>
  <si>
    <t>DAEJIN UNIVERSITY</t>
  </si>
  <si>
    <t>동국대학교</t>
  </si>
  <si>
    <t>dongguk_ac_kr.png</t>
  </si>
  <si>
    <t>dongguk.ac.kr</t>
  </si>
  <si>
    <t>https://it.dongguk.edu/?page_id=18649</t>
  </si>
  <si>
    <t>DONGGUK UNIVERSITY</t>
  </si>
  <si>
    <t>동신대학교</t>
  </si>
  <si>
    <t>dsu_ac_kr.png</t>
  </si>
  <si>
    <t>dsu.ac.kr</t>
  </si>
  <si>
    <t>Dongshin University</t>
  </si>
  <si>
    <t>동아대학교</t>
  </si>
  <si>
    <t>donga_ac_kr.png</t>
  </si>
  <si>
    <t>donga.ac.kr</t>
  </si>
  <si>
    <t>Dong-A University</t>
  </si>
  <si>
    <t>동의대학교</t>
  </si>
  <si>
    <t>deu_ac_kr.png</t>
  </si>
  <si>
    <t>deu.ac.kr</t>
  </si>
  <si>
    <t>https://www.deu.ac.kr/www/deu-it-etc.do?mode=view&amp;articleNo=65693&amp;article.offset=0&amp;articleLimit=10</t>
  </si>
  <si>
    <t>Dong-Eui university</t>
  </si>
  <si>
    <t>목포대학교</t>
  </si>
  <si>
    <t>mokpo_ac_kr.png</t>
  </si>
  <si>
    <t>mokpo.ac.kr</t>
  </si>
  <si>
    <t>https://www.mokpo.ac.kr/www/291/subview.do</t>
  </si>
  <si>
    <t>Mokpo National University</t>
  </si>
  <si>
    <t>목포해양대학교</t>
  </si>
  <si>
    <t>mmu_ac_kr.png</t>
  </si>
  <si>
    <t>mmu.ac.kr</t>
  </si>
  <si>
    <t>https://www.mmu.ac.kr/main/contents/eduroam</t>
  </si>
  <si>
    <t>Mokpo National Maritime University</t>
  </si>
  <si>
    <t>백석대학교</t>
  </si>
  <si>
    <t>bu_ac_kr.png</t>
  </si>
  <si>
    <t>bu.ac.kr</t>
  </si>
  <si>
    <t>http://www.bu.ac.kr/web/3739/subview.do</t>
  </si>
  <si>
    <t>Baekseok University</t>
  </si>
  <si>
    <t>부경대학교</t>
  </si>
  <si>
    <t>pknu_ac_kr.png</t>
  </si>
  <si>
    <t>pknu.ac.kr</t>
  </si>
  <si>
    <t>https://icc.pknu.ac.kr/main/17</t>
  </si>
  <si>
    <t>Pukyong National University</t>
  </si>
  <si>
    <t>부산교육대학교</t>
  </si>
  <si>
    <t>bnue_ac_kr.png</t>
  </si>
  <si>
    <t>bnue.ac.kr</t>
  </si>
  <si>
    <t>Busan National University of Education</t>
  </si>
  <si>
    <t>부산대학교</t>
  </si>
  <si>
    <t>pusan_ac_kr.png</t>
  </si>
  <si>
    <t>pusan.ac.kr</t>
  </si>
  <si>
    <t>PUSAN NATIONAL UNIVERSITY</t>
  </si>
  <si>
    <t>상명대학교</t>
  </si>
  <si>
    <t>smu_ac_kr.png</t>
  </si>
  <si>
    <t>smu.ac.kr</t>
  </si>
  <si>
    <t>https://www.smu.ac.kr/kor/life/eduroam.do</t>
  </si>
  <si>
    <t>SANGMYUNG UNIVERSITY</t>
  </si>
  <si>
    <t>서강대학교</t>
  </si>
  <si>
    <t>sogang_ac_kr.png</t>
  </si>
  <si>
    <t>sogang.ac.kr</t>
  </si>
  <si>
    <t>http://eduroam.sogang.ac.kr/eduroam/index.html</t>
  </si>
  <si>
    <t>Sogang University</t>
  </si>
  <si>
    <t>서울과학기술대학교</t>
  </si>
  <si>
    <t>seoultech_ac_kr.png</t>
  </si>
  <si>
    <t>seoultech.ac.kr</t>
  </si>
  <si>
    <t>https://itc.seoultech.ac.kr/service/wifi</t>
  </si>
  <si>
    <t>Seoul National University of Science&amp;amp;Technology</t>
  </si>
  <si>
    <t>국립대법인</t>
  </si>
  <si>
    <t>서울대학교</t>
  </si>
  <si>
    <t>snu_ac_kr.png</t>
  </si>
  <si>
    <t>snu.ac.kr</t>
  </si>
  <si>
    <t>https://ist.snu.ac.kr/wifi/</t>
  </si>
  <si>
    <t>Seoul National University</t>
  </si>
  <si>
    <t>공립</t>
  </si>
  <si>
    <t>서울시립대학교</t>
  </si>
  <si>
    <t>uos_ac_kr.png</t>
  </si>
  <si>
    <t>uos.ac.kr</t>
  </si>
  <si>
    <t>https://cis.uos.ac.kr/ithelpdesk/html/network/wifi.do?menuid=1089004001000000000&amp;identified=anonymous&amp;</t>
  </si>
  <si>
    <t>UNIVERSITY OF SEOUL</t>
  </si>
  <si>
    <t>서원대학교</t>
  </si>
  <si>
    <t>seowon_ac_kr.png</t>
  </si>
  <si>
    <t>seowon.ac.kr</t>
  </si>
  <si>
    <t>Seowon University</t>
  </si>
  <si>
    <t>서일대학교</t>
  </si>
  <si>
    <t>seoil_ac_kr.png</t>
  </si>
  <si>
    <t>seoil.ac.kr</t>
  </si>
  <si>
    <t>SEOIL UNIVERSITY</t>
  </si>
  <si>
    <t>성결대학교</t>
  </si>
  <si>
    <t>sungkyul_ac_kr.png</t>
  </si>
  <si>
    <t>sungkyul.ac.kr</t>
  </si>
  <si>
    <t>SUNGKYUL UNIVERSITY</t>
  </si>
  <si>
    <t>성균관대학교</t>
  </si>
  <si>
    <t>skku_ac_kr.png</t>
  </si>
  <si>
    <t>skku.ac.kr</t>
  </si>
  <si>
    <t>https://www.skku.edu/skku/campus/IT_service/it_service11.do</t>
  </si>
  <si>
    <t>SUNGKYUNKWAN UNIVERSITY</t>
  </si>
  <si>
    <t>성신여자대학교</t>
  </si>
  <si>
    <t>sungshin_ac_kr.png</t>
  </si>
  <si>
    <t>sungshin.ac.kr</t>
  </si>
  <si>
    <t>SUNGSHIN WOMEN&amp;#39;S UNIVERSITY</t>
  </si>
  <si>
    <t>세종대학교</t>
  </si>
  <si>
    <t>sejong_ac_kr.png</t>
  </si>
  <si>
    <t>sejong.ac.kr</t>
  </si>
  <si>
    <t>SEJONG UNIVERSITY</t>
  </si>
  <si>
    <t>세한대학교</t>
  </si>
  <si>
    <t>sehan_ac_kr.png</t>
  </si>
  <si>
    <t>sehan.ac.kr</t>
  </si>
  <si>
    <t>SEHAN UNIVERSITY</t>
  </si>
  <si>
    <t>수원대학교</t>
  </si>
  <si>
    <t>suwon_ac_kr.png</t>
  </si>
  <si>
    <t>suwon.ac.kr</t>
  </si>
  <si>
    <t>https://ici.suwon.ac.kr/index.html?menuno=340</t>
  </si>
  <si>
    <t>THE UNIVERSITY OF SUWON</t>
  </si>
  <si>
    <t>숙명여자대학교</t>
  </si>
  <si>
    <t>sookmyung_ac_kr.png</t>
  </si>
  <si>
    <t>sookmyung.ac.kr</t>
  </si>
  <si>
    <t>SookMyung Women&amp;#39;s University</t>
  </si>
  <si>
    <t>순천대학교</t>
  </si>
  <si>
    <t>scnu_ac_kr.png</t>
  </si>
  <si>
    <t>scnu.ac.kr</t>
  </si>
  <si>
    <t>https://www.scnu.ac.kr/icc/cm/cntnts/cntntsView.do?mi=4804&amp;cntntsId=2682</t>
  </si>
  <si>
    <t>Sunchon National University</t>
  </si>
  <si>
    <t>숭실대학교</t>
  </si>
  <si>
    <t>ssu_ac_kr.png</t>
  </si>
  <si>
    <t>ssu.ac.kr</t>
  </si>
  <si>
    <t>https://ssu.ac.kr/%EB%8C%80%ED%95%99%EC%83%9D%ED%99%9C/%EA%B5%90%EB%82%B4%EC%83%9D%ED%99%9C%EC%A7%80%EC%9B%90/it%EC%A7%80%EC%9B%90-%EC%84%9C%EB%B9%84%EC%8A%A4/eduroam/</t>
  </si>
  <si>
    <t>Soongsil university</t>
  </si>
  <si>
    <t>신한대학교</t>
  </si>
  <si>
    <t>shinhan_ac_kr.png</t>
  </si>
  <si>
    <t>shinhan.ac.kr</t>
  </si>
  <si>
    <t>https://www.shinhan.ac.kr/kr/256/subview.do</t>
  </si>
  <si>
    <t>SHINHAN UNIVERSITY</t>
  </si>
  <si>
    <t>아주대학교</t>
  </si>
  <si>
    <t>ajou_ac_kr.png</t>
  </si>
  <si>
    <t>ajou.ac.kr</t>
  </si>
  <si>
    <t>https://pc119.ajou.ac.kr/pc119/service/lan.do</t>
  </si>
  <si>
    <t>Ajou University</t>
  </si>
  <si>
    <t>연세대학교</t>
  </si>
  <si>
    <t>yonsei_ac_kr.png</t>
  </si>
  <si>
    <t>yonsei.ac.kr</t>
  </si>
  <si>
    <t>https://yis.yonsei.ac.kr/ics/service/eduroam.do</t>
  </si>
  <si>
    <t>Yonsei University</t>
  </si>
  <si>
    <t>영남대학교</t>
  </si>
  <si>
    <t>yu_ac_kr.png</t>
  </si>
  <si>
    <t>yu.ac.kr</t>
  </si>
  <si>
    <t>http://homep.yu.ac.kr/_korean/onestop/index.php?c=ucampus_07</t>
  </si>
  <si>
    <t>Yeungnam University</t>
  </si>
  <si>
    <t>영남이공대학교</t>
  </si>
  <si>
    <t>ync_ac_kr.png</t>
  </si>
  <si>
    <t>ync.ac.kr</t>
  </si>
  <si>
    <t>Yeungnam University College</t>
  </si>
  <si>
    <t>울산과학기술원</t>
  </si>
  <si>
    <t>unist_ac_kr.png</t>
  </si>
  <si>
    <t>unist.ac.kr</t>
  </si>
  <si>
    <t>UNIST</t>
  </si>
  <si>
    <t>울산대학교</t>
  </si>
  <si>
    <t>ulsan_ac_kr.png</t>
  </si>
  <si>
    <t>ulsan.ac.kr</t>
  </si>
  <si>
    <t>UNIVERSITY OF ULSAN</t>
  </si>
  <si>
    <t>원광대학교</t>
  </si>
  <si>
    <t>wku_ac_kr.png</t>
  </si>
  <si>
    <t>wku.ac.kr</t>
  </si>
  <si>
    <t>wonkwang</t>
  </si>
  <si>
    <t>원광보건대학교</t>
  </si>
  <si>
    <t>wu_ac_kr.png</t>
  </si>
  <si>
    <t>wu.ac.kr</t>
  </si>
  <si>
    <t>https://wu.ac.kr/wu/9385/subview.do?enc=Zm5jdDF8QEB8JTJGYmJzJTJGd3UlMkYzOCUyRjEwNzQyMyUyRmFydGNsVmlldy5kbyUzRnBhZ2UlM0QxJTI2c3JjaENvbHVtbiUzRCUyNnNyY2hXcmQlM0QlMjZiYnNDbFNlcSUzRCUyNmJic09wZW5XcmRTZXElM0QlMjZyZ3NCZ25kZVN0ciUzRCUyNnJnc0VuZGRlU3RyJTNEJTI2aXNWaWV3TWluZSUzRGZhbHNlJTI2cGFzc3dvcmQlM0QlMjY%3D</t>
  </si>
  <si>
    <t>WONKWANG HEALTH SCIENCE UNIVERSITY</t>
  </si>
  <si>
    <t>유한대학교</t>
  </si>
  <si>
    <t>yuhan_ac_kr.png</t>
  </si>
  <si>
    <t>yuhan.ac.kr</t>
  </si>
  <si>
    <t>Yuhan University</t>
  </si>
  <si>
    <t>이화여자대학교</t>
  </si>
  <si>
    <t>ewha_ac_kr.png</t>
  </si>
  <si>
    <t>ewha.ac.kr</t>
  </si>
  <si>
    <t>https://www.ewha.ac.kr/ewha/life/eduroam.do</t>
  </si>
  <si>
    <t>EWHA WOMANS UNIVERSITY</t>
  </si>
  <si>
    <t>인제대학교</t>
  </si>
  <si>
    <t>inje_ac_kr.png</t>
  </si>
  <si>
    <t>inje.ac.kr</t>
  </si>
  <si>
    <t>https://www.inje.ac.kr/kor/campus-life/e-service-03.asp</t>
  </si>
  <si>
    <t>INJE UNIVERSITY</t>
  </si>
  <si>
    <t>인천대학교</t>
  </si>
  <si>
    <t>inu_ac_kr.png</t>
  </si>
  <si>
    <t>inu.ac.kr</t>
  </si>
  <si>
    <t>INCHEON NATIONAL UNIVERSITY</t>
  </si>
  <si>
    <t>인하대학교</t>
  </si>
  <si>
    <t>inha_ac_kr.png</t>
  </si>
  <si>
    <t>inha.ac.kr</t>
  </si>
  <si>
    <t>INHA university</t>
  </si>
  <si>
    <t>장로회신학대학교</t>
  </si>
  <si>
    <t>puts_ac_kr.png</t>
  </si>
  <si>
    <t>puts.ac.kr</t>
  </si>
  <si>
    <t>https://pcts.ac.kr/www/main/kor/_Sub/sub-04-05-02-01.asp</t>
  </si>
  <si>
    <t>PRESBYTERIAN UNIVERSITY AND THEOLOGICAL SEMINARY</t>
  </si>
  <si>
    <t>전남대학교</t>
  </si>
  <si>
    <t>jnu_ac_kr.png</t>
  </si>
  <si>
    <t>jnu.ac.kr</t>
  </si>
  <si>
    <t>http://www.jnu.ac.kr/MainUniLife/InforService/Eduroam</t>
  </si>
  <si>
    <t>Chonnam National University</t>
  </si>
  <si>
    <t>전북대학교</t>
  </si>
  <si>
    <t>jbnu_ac_kr.png</t>
  </si>
  <si>
    <t>jbnu.ac.kr</t>
  </si>
  <si>
    <t>https://its.jbnu.ac.kr/its/9226/subview.do</t>
  </si>
  <si>
    <t>Jeonbuk National University</t>
  </si>
  <si>
    <t>전주교육대학교</t>
  </si>
  <si>
    <t>jnue_ac_kr.png</t>
  </si>
  <si>
    <t>jnue.ac.kr</t>
  </si>
  <si>
    <t>https://www.jnue.kr/portal/icc/contents/contents_view.do?menuId=M0093000400020000</t>
  </si>
  <si>
    <t>JEONJU NATIONAL UNIVERSITY OF EDUCATION</t>
  </si>
  <si>
    <t>전주대학교</t>
  </si>
  <si>
    <t>jj_ac_kr.png</t>
  </si>
  <si>
    <t>jj.ac.kr</t>
  </si>
  <si>
    <t>http://wlan.jj.ac.kr/</t>
  </si>
  <si>
    <t>1</t>
  </si>
  <si>
    <t>전주비전대학교</t>
  </si>
  <si>
    <t>jvision_ac_kr.png</t>
  </si>
  <si>
    <t>jvision.ac.kr</t>
  </si>
  <si>
    <t>Vision College of Jeonju</t>
  </si>
  <si>
    <t>제주대학교</t>
  </si>
  <si>
    <t>jejunu_ac_kr.png</t>
  </si>
  <si>
    <t>jejunu.ac.kr</t>
  </si>
  <si>
    <t>https://cms.jejunu.ac.kr/camp/stud/wifi/eduroam.htm</t>
  </si>
  <si>
    <t>Jeju National University</t>
  </si>
  <si>
    <t>조선대학교</t>
  </si>
  <si>
    <t>chosun_ac_kr.png</t>
  </si>
  <si>
    <t>chosun.ac.kr</t>
  </si>
  <si>
    <t>http://wifi.chosun.ac.kr/Main/Main.html</t>
  </si>
  <si>
    <t>chosun university</t>
  </si>
  <si>
    <t>중앙대학교</t>
  </si>
  <si>
    <t>cau_ac_kr.png</t>
  </si>
  <si>
    <t>cau.ac.kr</t>
  </si>
  <si>
    <t>http://ithelp.cau.ac.kr/Pages/Sub0101.aspx?m1=01&amp;m2=01</t>
  </si>
  <si>
    <t>Chung-Ang University</t>
  </si>
  <si>
    <t>창원대학교</t>
  </si>
  <si>
    <t>cwnu_ac_kr.png</t>
  </si>
  <si>
    <t>cwnu.ac.kr</t>
  </si>
  <si>
    <t>https://www.changwon.ac.kr/kor/na/ntt/selectNttInfo.do?mi=10177&amp;nttSn=782638</t>
  </si>
  <si>
    <t>Changwon National University</t>
  </si>
  <si>
    <t>청주교육대학교</t>
  </si>
  <si>
    <t>cje_ac_kr.png</t>
  </si>
  <si>
    <t>cje.ac.kr</t>
  </si>
  <si>
    <t>https://www.cje.ac.kr/cj_edu_univ/web/content.do?menu_cd=000157</t>
  </si>
  <si>
    <t>Cheongju National University Of Education</t>
  </si>
  <si>
    <t>춘천교육대학교</t>
  </si>
  <si>
    <t>cnue_ac_kr.png</t>
  </si>
  <si>
    <t>cnue.ac.kr</t>
  </si>
  <si>
    <t>https://www.cnue.ac.kr/cnue/life/wireless-lan.do</t>
  </si>
  <si>
    <t>CHUNCHEON NATIONAL UNIVERSITY OF EDUCATION</t>
  </si>
  <si>
    <t>충남대학교</t>
  </si>
  <si>
    <t>cnu_ac_kr.png</t>
  </si>
  <si>
    <t>cnu.ac.kr</t>
  </si>
  <si>
    <t>https://homepage.cnu.ac.kr/cic/service/eduroam.do</t>
  </si>
  <si>
    <t>Chungnam National University</t>
  </si>
  <si>
    <t>충북대학교</t>
  </si>
  <si>
    <t>cbnu_ac_kr.png</t>
  </si>
  <si>
    <t>cbnu.ac.kr</t>
  </si>
  <si>
    <t>http://wifi.cbnu.ac.kr/</t>
  </si>
  <si>
    <t>Chungbuk National University</t>
  </si>
  <si>
    <t>충북보건과학대학교</t>
  </si>
  <si>
    <t>chsu_ac_kr.png</t>
  </si>
  <si>
    <t>chsu.ac.kr</t>
  </si>
  <si>
    <t>CHUNGBUK HEALTH &amp;amp; SCIENCE UNIVERSITY</t>
  </si>
  <si>
    <t>포항공과대학교</t>
  </si>
  <si>
    <t>postech_ac_kr.png</t>
  </si>
  <si>
    <t>postech.ac.kr</t>
  </si>
  <si>
    <t>https://hemos.postech.ac.kr/ServiceGuide/UserGuide?section=wifi</t>
  </si>
  <si>
    <t>Postech</t>
  </si>
  <si>
    <t>한국공학대학교</t>
  </si>
  <si>
    <t>tukorea_ac_kr.png</t>
  </si>
  <si>
    <t>tukorea.ac.kr</t>
  </si>
  <si>
    <t>TECH UNIVERSITY OF KOREA</t>
  </si>
  <si>
    <t>한국교원대학교</t>
  </si>
  <si>
    <t>knue_ac_kr.png</t>
  </si>
  <si>
    <t>knue.ac.kr</t>
  </si>
  <si>
    <t>http://rec.knue.ac.kr/bbs/outBoard.jsp?bodcode=notice&amp;uid=1974</t>
  </si>
  <si>
    <t>KOREA NATIONAL UNIVERSITY OF EDUCATION</t>
  </si>
  <si>
    <t>한국기술교육대학교</t>
  </si>
  <si>
    <t>koreatech_ac_kr.png</t>
  </si>
  <si>
    <t>koreatech.ac.kr</t>
  </si>
  <si>
    <t>Korea University of Technology and Education</t>
  </si>
  <si>
    <t>한국방송통신대학교</t>
  </si>
  <si>
    <t>knou_ac_kr.png</t>
  </si>
  <si>
    <t>knou.ac.kr</t>
  </si>
  <si>
    <t>https://eist.knou.ac.kr/eist/10344/subview.do</t>
  </si>
  <si>
    <t>Korea National Open University</t>
  </si>
  <si>
    <t>한국에너지공과대학교</t>
  </si>
  <si>
    <t>kentech_ac_kr.png</t>
  </si>
  <si>
    <t>kentech.ac.kr</t>
  </si>
  <si>
    <t>Korea Institute of Energy Technology</t>
  </si>
  <si>
    <t>한국외국어대학교</t>
  </si>
  <si>
    <t>hufs_ac_kr.png</t>
  </si>
  <si>
    <t>hufs.ac.kr</t>
  </si>
  <si>
    <t>https://www.hufs.ac.kr/hufs/11334/subview.do</t>
  </si>
  <si>
    <t>Hankuk University of Foreign Studies</t>
  </si>
  <si>
    <t>한국체육대학교</t>
  </si>
  <si>
    <t>knsu_ac_kr.png</t>
  </si>
  <si>
    <t>knsu.ac.kr</t>
  </si>
  <si>
    <t>https://www.knsu.ac.kr/knsu/unilife/wireless-internet.do</t>
  </si>
  <si>
    <t>Korea National Sport University</t>
  </si>
  <si>
    <t>한국항공대학교</t>
  </si>
  <si>
    <t>kau_ac_kr.png</t>
  </si>
  <si>
    <t>kau.ac.kr</t>
  </si>
  <si>
    <t>https://kau.ac.kr/kaulife/itnoti.php?searchkey=&amp;searchvalue=&amp;code=s1801&amp;page=&amp;mode=read&amp;seq=6546</t>
  </si>
  <si>
    <t>korea aerospace university</t>
  </si>
  <si>
    <t>한국해양대학교</t>
  </si>
  <si>
    <t>kmou_ac_kr.png</t>
  </si>
  <si>
    <t>kmou.ac.kr</t>
  </si>
  <si>
    <t>http://www.kmou.ac.kr/cisc/cm/cntnts/cntntsView.do?mi=4384&amp;cntntsId=1306</t>
  </si>
  <si>
    <t>Korea Maritime and Ocean University</t>
  </si>
  <si>
    <t>한남대학교</t>
  </si>
  <si>
    <t>hnu_ac_kr.png</t>
  </si>
  <si>
    <t>hnu.ac.kr</t>
  </si>
  <si>
    <t>http://wifi.hannam.ac.kr/</t>
  </si>
  <si>
    <t>Hannam University</t>
  </si>
  <si>
    <t>한동대학교</t>
  </si>
  <si>
    <t>hgu_ac_kr.png</t>
  </si>
  <si>
    <t>hgu.ac.kr</t>
  </si>
  <si>
    <t>https://library.handong.edu/local/html/450</t>
  </si>
  <si>
    <t>Handong Global University</t>
  </si>
  <si>
    <t>한림대학교</t>
  </si>
  <si>
    <t>hallym_ac_kr.png</t>
  </si>
  <si>
    <t>hallym.ac.kr</t>
  </si>
  <si>
    <t>Hallym University</t>
  </si>
  <si>
    <t>한세대학교</t>
  </si>
  <si>
    <t>hansei_ac_kr.png</t>
  </si>
  <si>
    <t>hansei.ac.kr</t>
  </si>
  <si>
    <t>http://www.hansei.ac.kr/kor/345/subview.do</t>
  </si>
  <si>
    <t>Hansei University</t>
  </si>
  <si>
    <t>한양대학교</t>
  </si>
  <si>
    <t>hanyang_ac_kr.png</t>
  </si>
  <si>
    <t>hanyang.ac.kr</t>
  </si>
  <si>
    <t>Hanyang University</t>
  </si>
  <si>
    <t>호남대학교</t>
  </si>
  <si>
    <t>honam_ac_kr.png</t>
  </si>
  <si>
    <t>honam.ac.kr</t>
  </si>
  <si>
    <t>Honam University</t>
  </si>
  <si>
    <t>홍익대학교</t>
  </si>
  <si>
    <t>hongik_ac_kr.png</t>
  </si>
  <si>
    <t>hongik.ac.kr</t>
  </si>
  <si>
    <t>https://wifi.hongik.ac.kr</t>
  </si>
  <si>
    <t>HONGIK UNIVERSITY</t>
  </si>
  <si>
    <t>고등과학원</t>
  </si>
  <si>
    <t>kias_re_kr.png</t>
  </si>
  <si>
    <t>kias.re.kr</t>
  </si>
  <si>
    <t>KIAS, Korea Institute for Advanced Study</t>
  </si>
  <si>
    <t>한국과학기술정보연구원</t>
  </si>
  <si>
    <t>kisti_re_kr.png</t>
  </si>
  <si>
    <t>kisti.re.kr</t>
  </si>
  <si>
    <t>http://www.kreonet.net/eduroam/en</t>
  </si>
  <si>
    <t>KISTI, Korea Institute of Science and Technology Information</t>
  </si>
  <si>
    <t>국가수리과학연구소</t>
  </si>
  <si>
    <t>nims_re_kr.png</t>
  </si>
  <si>
    <t>nims.re.kr</t>
  </si>
  <si>
    <t>NIMS, National Institute for Mathematical Sciences</t>
  </si>
  <si>
    <t>(재)테인협력센터</t>
  </si>
  <si>
    <t>teincc_kr.png</t>
  </si>
  <si>
    <t>teincc.kr</t>
  </si>
  <si>
    <t>TEIN Cooperation Center</t>
  </si>
  <si>
    <t>기초과학연구원</t>
  </si>
  <si>
    <t>ibs_re_kr.png</t>
  </si>
  <si>
    <t>ibs.re.kr</t>
  </si>
  <si>
    <t>http://eduroam.ibs.re.kr</t>
  </si>
  <si>
    <t>IBS, Institute for Basic Science</t>
  </si>
  <si>
    <t>한국표준과학연구원</t>
  </si>
  <si>
    <t>kriss_re_kr.png</t>
  </si>
  <si>
    <t>kriss.re.kr</t>
  </si>
  <si>
    <t>KRISS, Korea Research Institute of Standards and Science</t>
  </si>
  <si>
    <t>대전마케팅공사</t>
  </si>
  <si>
    <t>dime_or_kr.png</t>
  </si>
  <si>
    <t>DIME, Daejeon International Marketing Enterprise</t>
  </si>
  <si>
    <t>SP</t>
  </si>
  <si>
    <t>univ_name</t>
  </si>
  <si>
    <t>location</t>
  </si>
  <si>
    <t>campus_name</t>
  </si>
  <si>
    <t>lat</t>
  </si>
  <si>
    <t>lng</t>
  </si>
  <si>
    <t>hasApData</t>
  </si>
  <si>
    <t>buildingCount</t>
  </si>
  <si>
    <t>campus_name_ko</t>
  </si>
  <si>
    <t>campus_name_en</t>
  </si>
  <si>
    <t>campus_name_ko2</t>
  </si>
  <si>
    <t>campus_name_en2</t>
  </si>
  <si>
    <t>location_en</t>
  </si>
  <si>
    <t>addr_ko</t>
  </si>
  <si>
    <t>addr_en</t>
  </si>
  <si>
    <t>notes</t>
  </si>
  <si>
    <t>num_ap</t>
  </si>
  <si>
    <t>경기</t>
  </si>
  <si>
    <t>본교</t>
  </si>
  <si>
    <t>Y</t>
  </si>
  <si>
    <t>가천대학교 글로벌캠퍼스</t>
  </si>
  <si>
    <t>Gachon University Global Campus</t>
  </si>
  <si>
    <t>Gyeonggi-do</t>
  </si>
  <si>
    <t>(13120) 경기도 성남시 수정구 성남대로 1342</t>
  </si>
  <si>
    <t>(13120) 1342 Seongnamdaero, Sujeong-gu, Seongnam-si, Gyeonggi-do</t>
  </si>
  <si>
    <t>인천</t>
  </si>
  <si>
    <t>메디컬캠퍼스</t>
  </si>
  <si>
    <t>N</t>
  </si>
  <si>
    <t>가천대학교 메디컬캠퍼스</t>
  </si>
  <si>
    <t>Gachon University Medical Campus</t>
  </si>
  <si>
    <t>Incheon</t>
  </si>
  <si>
    <t>(21936) 인천광역시 연수구 함박뫼로 191</t>
  </si>
  <si>
    <t>(21936) 191 Hambangmoe-ro, Yeonsu-gu, Incheon</t>
  </si>
  <si>
    <t>강원</t>
  </si>
  <si>
    <t>원주캠퍼스</t>
  </si>
  <si>
    <t>국립강릉원주대학교 원주캠퍼스</t>
  </si>
  <si>
    <t>Gangneung-Wonju National University Wonju Campus</t>
  </si>
  <si>
    <t>Gangwon-do</t>
  </si>
  <si>
    <t>(26403) 강원특별자치도 원주시 흥업면 남원로 150</t>
  </si>
  <si>
    <t>(26403) 150 Namwon-ro, Heungeop-myeon, Wonju-si, Gangwon-do</t>
  </si>
  <si>
    <t>2026-03-01부로 강원대학교와 통합. 공식적으로 존재하지 않음 — 강원대 원주캠퍼스로 이관 검토 필요</t>
  </si>
  <si>
    <t>강릉캠퍼스</t>
  </si>
  <si>
    <t>국립강릉원주대학교 강릉캠퍼스</t>
  </si>
  <si>
    <t>Gangneung-Wonju National University Gangneung Campus</t>
  </si>
  <si>
    <t>(25457) 강원특별자치도 강릉시 죽헌길 7</t>
  </si>
  <si>
    <t>(25457) 7 Jukheon-gil, Gangneung-si, Gangwon-do</t>
  </si>
  <si>
    <t>2026-03-01부로 강원대학교와 통합. 공식적으로 존재하지 않음 — 강원대 강릉캠퍼스로 이관 검토 필요</t>
  </si>
  <si>
    <t>강원대학교 춘천캠퍼스</t>
  </si>
  <si>
    <t>Kangwon National University Chuncheon Campus</t>
  </si>
  <si>
    <t>(24341) 강원특별자치도 춘천시 강원대학길 1</t>
  </si>
  <si>
    <t>(24341) 1 Gangwondaehak-gil, Chuncheon-si, Gangwon-do</t>
  </si>
  <si>
    <t>2026-03-01 강릉원주대학교 통합 후 본교(춘천) 외 강릉/원주 캠퍼스 추가됨</t>
  </si>
  <si>
    <t>도계캠퍼스</t>
  </si>
  <si>
    <t>국립강원대학교 도계캠퍼스</t>
  </si>
  <si>
    <t>Kangwon National University Dogye Campus</t>
  </si>
  <si>
    <t>(25949) 강원특별자치도 삼척시 도계읍 황조길 346</t>
  </si>
  <si>
    <t>(25949) 346 Hwangjo-gil, Dogye-eup, Samcheok-si, Gangwon-do</t>
  </si>
  <si>
    <t>2026-03-01부 국립강릉원주대학교와 통합하여 '통합 강원대학교' 출범</t>
  </si>
  <si>
    <t>삼척캠퍼스</t>
  </si>
  <si>
    <t>국립강원대학교 삼척캠퍼스</t>
  </si>
  <si>
    <t>Kangwon National University Samcheok Campus</t>
  </si>
  <si>
    <t>(25913) 강원특별자치도 삼척시 중앙로 346</t>
  </si>
  <si>
    <t>(25913) 346 Jungang-ro, Samcheok-si, Gangwon-do</t>
  </si>
  <si>
    <t>서울</t>
  </si>
  <si>
    <t>서울캠퍼스</t>
  </si>
  <si>
    <t>건국대학교 서울캠퍼스</t>
  </si>
  <si>
    <t>Konkuk University Seoul Campus</t>
  </si>
  <si>
    <t>Seoul</t>
  </si>
  <si>
    <t>(05029) 서울특별시 광진구 능동로 120</t>
  </si>
  <si>
    <t>(05029) 120 Neungdong-ro, Gwangjin-gu, Seoul</t>
  </si>
  <si>
    <t>충북</t>
  </si>
  <si>
    <t>글로컬캠퍼스</t>
  </si>
  <si>
    <t>건국대학교 글로컬캠퍼스</t>
  </si>
  <si>
    <t>Konkuk University Glocal Campus</t>
  </si>
  <si>
    <t>Chungcheongbuk-do</t>
  </si>
  <si>
    <t>(27478) 충청북도 충주시 충원대로 268</t>
  </si>
  <si>
    <t>(27478) 268 Chungwon-daero, Chungju-si, Chungcheongbuk-do</t>
  </si>
  <si>
    <t>충남</t>
  </si>
  <si>
    <t>글로벌캠퍼스</t>
  </si>
  <si>
    <t>건양대학교 글로벌캠퍼스</t>
  </si>
  <si>
    <t>Konyang University Changui Convergence Campus</t>
  </si>
  <si>
    <t>Chungcheongnam-do</t>
  </si>
  <si>
    <t>(32992) 충청남도 논산시 대학로 121</t>
  </si>
  <si>
    <t>(32992) 121 Daehak-ro, Nonsan-si, Chungcheongnam-do</t>
  </si>
  <si>
    <t>대전</t>
  </si>
  <si>
    <t>건양대학교 메디컬캠퍼스</t>
  </si>
  <si>
    <t>Konyang University Medical Campus</t>
  </si>
  <si>
    <t>Daejeon</t>
  </si>
  <si>
    <t>(35365)+N11+A12:M12+D12:M12N+A12:M12</t>
  </si>
  <si>
    <t>(35365) 158 Gwanjeodong-ro, Seo-gu, Daejeon</t>
  </si>
  <si>
    <t>경남</t>
  </si>
  <si>
    <t>경남대학교 월영캠퍼스</t>
  </si>
  <si>
    <t>Kyungnam University Wolyeong Campus</t>
  </si>
  <si>
    <t>Gyeongsangnam-do</t>
  </si>
  <si>
    <t>(51767) 경상남도 창원시 마산합포구 경남대학로 7</t>
  </si>
  <si>
    <t>(51767) 7 Kyungnamdaehak-ro, Masanhappo-gu, Changwon-si, Gyeongsangnam-do</t>
  </si>
  <si>
    <t>대구</t>
  </si>
  <si>
    <t>산격캠퍼스</t>
  </si>
  <si>
    <t>국립경북대학교 대구캠퍼스(산격)</t>
  </si>
  <si>
    <t>Kyungpook National University Daegu Campus (Sangyeok)</t>
  </si>
  <si>
    <t>Daegu</t>
  </si>
  <si>
    <t>(41566) 대구광역시 북구 대학로 80</t>
  </si>
  <si>
    <t>(41566) 80 Daehak-ro, Buk-gu, Daegu</t>
  </si>
  <si>
    <t>통영캠퍼스</t>
  </si>
  <si>
    <t>경상국립대학교 통영캠퍼스</t>
  </si>
  <si>
    <t>Gyeongsang National University Tongyeong Campus</t>
  </si>
  <si>
    <t>(53064) 경상남도 통영시 통영해안로 2</t>
  </si>
  <si>
    <t>(53064) 2 Tongyeonghaean-ro, Tongyeong-si, Gyeongsangnam-do</t>
  </si>
  <si>
    <t>내동캠퍼스</t>
  </si>
  <si>
    <t>경상국립대학교 내동캠퍼스</t>
  </si>
  <si>
    <t>Gyeongsang National University Naedong Campus</t>
  </si>
  <si>
    <t>(52725) 경상남도 진주시 내동로139번길 8</t>
  </si>
  <si>
    <t>(52725) 8 Naedong-ro 139beon-gil, Jinju-si, Gyeongsangnam-do</t>
  </si>
  <si>
    <t>2021-03-01 옛 경남과학기술대학교 통합으로 편입</t>
  </si>
  <si>
    <t>가좌캠퍼스</t>
  </si>
  <si>
    <t>경상국립대학교 가좌캠퍼스</t>
  </si>
  <si>
    <t>Gyeongsang National University Gaejwa Campus</t>
  </si>
  <si>
    <t>(52828) 경상남도 진주시 진주대로 501</t>
  </si>
  <si>
    <t>(52828) 501 Jinju-daero, Jinju-si, Gyeongsangnam-do</t>
  </si>
  <si>
    <t>칠암캠퍼스(의간호대)</t>
  </si>
  <si>
    <t>칠암캠퍼스(의간호대</t>
  </si>
  <si>
    <t>경상국립대학교 칠암캠퍼스 (의과대학·간호대학)</t>
  </si>
  <si>
    <t>Gyeongsang National University Chilam Campus (College of Medicine &amp; Nursing)</t>
  </si>
  <si>
    <t>(52727) 경상남도 진주시 진주대로816번길 15</t>
  </si>
  <si>
    <t>(52727) 15 Jinju-daero 816beon-gil, Jinju-si, Gyeongsangnam-do</t>
  </si>
  <si>
    <t>칠암캠퍼스</t>
  </si>
  <si>
    <t>경상국립대학교 칠암캠퍼스</t>
  </si>
  <si>
    <t>Gyeongsang National University Chilam Campus</t>
  </si>
  <si>
    <t>(52725) 경상남도 진주시 동진로 33</t>
  </si>
  <si>
    <t>(52725) 33 Dongjin-ro, Jinju-si, Gyeongsangnam-do</t>
  </si>
  <si>
    <t>창원산학캠퍼스</t>
  </si>
  <si>
    <t>경상국립대학교 창원산학캠퍼스</t>
  </si>
  <si>
    <t>Gyeongsang National University Changwon Industry-Academia Campus</t>
  </si>
  <si>
    <t>(51391) 경상남도 창원시 의창구 차룡로48번길 54</t>
  </si>
  <si>
    <t>(51391) 54 Charyong-ro 48beon-gil, Uichang-gu, Changwon-si, Gyeongsangnam-do</t>
  </si>
  <si>
    <t>경인교육대학교 인천캠퍼스</t>
  </si>
  <si>
    <t>Gyeongin National University of Education Incheon Campus</t>
  </si>
  <si>
    <t>(21044) 인천광역시 계양구 계산로 62</t>
  </si>
  <si>
    <t>(21044) 62 Gyesan-ro, Gyeyang-gu, Incheon</t>
  </si>
  <si>
    <t>경기캠퍼스</t>
  </si>
  <si>
    <t>경인교육대학교 경기캠퍼스</t>
  </si>
  <si>
    <t>Gyeongin National University of Education Gyeonggi Campus</t>
  </si>
  <si>
    <t>(13910) 경기도 안양시 만안구 삼막로 155</t>
  </si>
  <si>
    <t>(13910) 155 Sammak-ro, Manan-gu, Anyang-si, Gyeonggi-do</t>
  </si>
  <si>
    <t>경일대학교</t>
  </si>
  <si>
    <t>경북</t>
  </si>
  <si>
    <t>Gyeongsangbuk-do</t>
  </si>
  <si>
    <t>(38428) 경상북도 경산시 하양읍 가마실길 50</t>
  </si>
  <si>
    <t>(38428) 50 Gamasil-gil, Hayang-eup, Gyeongsan-si, Gyeongsangbuk-do</t>
  </si>
  <si>
    <t>경희대학교 서울캠퍼스</t>
  </si>
  <si>
    <t>Kyung Hee University Seoul Campus</t>
  </si>
  <si>
    <t>(02447) 서울특별시 동대문구 경희대로 26</t>
  </si>
  <si>
    <t>(02447) 26 Kyungheedae-ro, Dongdaemun-gu, Seoul</t>
  </si>
  <si>
    <t>국제캠퍼스</t>
  </si>
  <si>
    <t>국제</t>
  </si>
  <si>
    <t>경희대학교 국제캠퍼스</t>
  </si>
  <si>
    <t>Kyung Hee University Global Campus</t>
  </si>
  <si>
    <t>(17104) 경기도 용인시 기흥구 덕영대로 1732</t>
  </si>
  <si>
    <t>(17104) 1732 Deogyeong-daero, Giheung-gu, Yongin-si, Gyeonggi-do</t>
  </si>
  <si>
    <t>계명대학교 성서캠퍼스</t>
  </si>
  <si>
    <t>Keimyung University Seongseo Campus</t>
  </si>
  <si>
    <t>(42601) 대구광역시 달서구 달구벌대로 1095</t>
  </si>
  <si>
    <t>(42601) 1095 Dalgubeol-daero, Dalseo-gu, Daegu</t>
  </si>
  <si>
    <t>대명캠퍼스</t>
  </si>
  <si>
    <t>계명대학교 대명캠퍼스</t>
  </si>
  <si>
    <t>Keimyung University Daemyung Campus</t>
  </si>
  <si>
    <t>(42403) 대구광역시 남구 명덕로 104</t>
  </si>
  <si>
    <t>(42403) 104 Myeongdeok-ro, Nam-gu, Daegu</t>
  </si>
  <si>
    <t>현재 미술대학 전용 캠퍼스로 사용</t>
  </si>
  <si>
    <t>Keimyung College University</t>
  </si>
  <si>
    <t>(42601) 대구광역시 달서구 달서대로 675</t>
  </si>
  <si>
    <t>(42601) 675 Dalseo-daero, Dalseo-gu, Daegu</t>
  </si>
  <si>
    <t>고려대학교 서울캠퍼스(안암)</t>
  </si>
  <si>
    <t>Korea University Seoul Campus (Anam)</t>
  </si>
  <si>
    <t>(02841) 서울특별시 성북구 안암로 145</t>
  </si>
  <si>
    <t>(02841) 145 Anam-ro, Seongbuk-gu, Seoul</t>
  </si>
  <si>
    <t>세종</t>
  </si>
  <si>
    <t>세종캠퍼스</t>
  </si>
  <si>
    <t>고려대학교 세종캠퍼스</t>
  </si>
  <si>
    <t>Korea University Sejong Campus</t>
  </si>
  <si>
    <t>Sejong</t>
  </si>
  <si>
    <t>(30019) 세종특별자치시 세종로 2511</t>
  </si>
  <si>
    <t>(30019) 2511 Sejong-ro, Sejong</t>
  </si>
  <si>
    <t>국립공주교육대학교</t>
  </si>
  <si>
    <t>(32553) 충청남도 공주시 웅진로 27</t>
  </si>
  <si>
    <t>(32553) 27 Ungjin-ro, Gongju-si, Chungcheongnam-do</t>
  </si>
  <si>
    <t>University of Science and Technology (UST)</t>
  </si>
  <si>
    <t>(34113) 대전광역시 유성구 가정로 217</t>
  </si>
  <si>
    <t>(34113) 217 Gajeong-ro, Yuseong-gu, Daejeon</t>
  </si>
  <si>
    <t>광주</t>
  </si>
  <si>
    <t>국립광주교육대학교</t>
  </si>
  <si>
    <t>Gwangju</t>
  </si>
  <si>
    <t>(61204) 광주광역시 북구 필문대로 55</t>
  </si>
  <si>
    <t>(61204) 55 Pilmun-daero, Buk-gu, Gwangju</t>
  </si>
  <si>
    <t>(61743) 광주광역시 남구 효덕로 277</t>
  </si>
  <si>
    <t>(61743) 277 Hyodeok-ro, Nam-gu, Gwangju</t>
  </si>
  <si>
    <t>(62287) 광주광역시 광산구 북문대로419번길 73</t>
  </si>
  <si>
    <t>(62287) 73 Bukmun-daero 419beon-gil, Gwangsan-gu, Gwangju</t>
  </si>
  <si>
    <t>(62396) 광주광역시 광산구 여대길 201</t>
  </si>
  <si>
    <t>(62396) 201 Yeodae-gil, Gwangsan-gu, Gwangju</t>
  </si>
  <si>
    <t>국립공주대학교 신관(공주)캠퍼스</t>
  </si>
  <si>
    <t>Kongju National University Singwan (Gongju) Campus</t>
  </si>
  <si>
    <t>(32588) 충청남도 공주시 공주대학로 56</t>
  </si>
  <si>
    <t>(32588) 56 Gongjudaehak-ro, Gongju-si, Chungcheongnam-do</t>
  </si>
  <si>
    <t>2028년 3월 충남대와 통합 예정</t>
  </si>
  <si>
    <t>천안</t>
  </si>
  <si>
    <t>국립공주대학교 천안캠퍼스</t>
  </si>
  <si>
    <t>Kongju National University Cheonan Campus</t>
  </si>
  <si>
    <t>(31080) 충청남도 천안시 서북구 천안대로 1223-24</t>
  </si>
  <si>
    <t>(31080) 1223-24 Cheonan-daero, Seobuk-gu, Cheonan-si, Chungcheongnam-do</t>
  </si>
  <si>
    <t>예산캠퍼스</t>
  </si>
  <si>
    <t>국립공주대학교 예산캠퍼스</t>
  </si>
  <si>
    <t>Kongju National University Yesan Campus</t>
  </si>
  <si>
    <t>(32439) 충청남도 예산군 예산읍 대학로 54</t>
  </si>
  <si>
    <t>(32439) 54 Daehak-ro, Yesan-eup, Yesan-gun, Chungcheongnam-do</t>
  </si>
  <si>
    <t>충주캠퍼스</t>
  </si>
  <si>
    <t>국립한국교통대학교 충주캠퍼스</t>
  </si>
  <si>
    <t>Korea National University of Transportation Chungju Campus</t>
  </si>
  <si>
    <t>(27469) 충청북도 충주시 대소원면 대학로 50</t>
  </si>
  <si>
    <t>(27469) 50 Daehak-ro, Daesowon-myeon, Chungju-si, Chungcheongbuk-do</t>
  </si>
  <si>
    <t xml:space="preserve">2027-03-01 충북대학교와 통합 예정 </t>
  </si>
  <si>
    <t>증평캠퍼스</t>
  </si>
  <si>
    <t>국립한국교통대학교 증평캠퍼스</t>
  </si>
  <si>
    <t>Korea National University of Transportation Jeungpyeong Campus</t>
  </si>
  <si>
    <t>(27909) 충청북도 증평군 증평읍 대학로 61</t>
  </si>
  <si>
    <t>(27909) 61 Daehak-ro, Jeungpyeong-eup, Jeungpyeong-gun, Chungcheongbuk-do</t>
  </si>
  <si>
    <t>의왕캠퍼스</t>
  </si>
  <si>
    <t>국립한국교통대학교 의왕캠퍼스</t>
  </si>
  <si>
    <t>Korea National University of Transportation Uiwang Campus</t>
  </si>
  <si>
    <t>(16106) 경기도 의왕시 철도박물관로 157</t>
  </si>
  <si>
    <t>(16106) 157 Cheoldobangmulgwan-ro, Uiwang-si, Gyeonggi-do</t>
  </si>
  <si>
    <t>대덕산학융합캠퍼스</t>
  </si>
  <si>
    <t>국립한밭대학교 대덕산학융합캠퍼스</t>
  </si>
  <si>
    <t>Hanbat National University Daedeok Industry-Academia Convergence Campus</t>
  </si>
  <si>
    <t>(34014) 대전광역시 유성구 테크노1로 75</t>
  </si>
  <si>
    <t>(34014) 75 Techno 1-ro, Yuseong-gu, Daejeon</t>
  </si>
  <si>
    <t>유성덕명캠퍼스</t>
  </si>
  <si>
    <t>국립한밭대학교 유성덕명캠퍼스</t>
  </si>
  <si>
    <t>Hanbat National University Yuseong Deokmyeong Campus</t>
  </si>
  <si>
    <t>(34158) 대전광역시 유성구 동서대로 125</t>
  </si>
  <si>
    <t>(34158) 125 Dongseo-daero, Yuseong-gu, Daejeon</t>
  </si>
  <si>
    <t>국민대학교 북악캠퍼스</t>
  </si>
  <si>
    <t>Kookmin University Bukak Campus</t>
  </si>
  <si>
    <t>(02707) 서울특별시 성북구 정릉로 77</t>
  </si>
  <si>
    <t>(02707) 77 Jeongneung-ro, Seongbuk-gu, Seoul</t>
  </si>
  <si>
    <t>전북</t>
  </si>
  <si>
    <t>국립군산대학교 미룡캠퍼스</t>
  </si>
  <si>
    <t>Kunsan National University Miryong Campus</t>
  </si>
  <si>
    <t>Jeollabuk-do</t>
  </si>
  <si>
    <t>(54150) 전북특별자치도 군산시 대학로 558</t>
  </si>
  <si>
    <t>(54150) 558 Daehak-ro, Gunsan-si, Jeonbuk-do</t>
  </si>
  <si>
    <t>새만금캠퍼스</t>
  </si>
  <si>
    <t>국립군산대학교 새만금캠퍼스</t>
  </si>
  <si>
    <t>Kunsan National University Saemangeum Campus</t>
  </si>
  <si>
    <t>본부 행정주소는 미룡캠퍼스와 동일; 실제 시설은 새만금 산학융합지구 내</t>
  </si>
  <si>
    <t>국립금오공과대학교 양호캠퍼스</t>
  </si>
  <si>
    <t>Kumoh National Institute of Technology Yangho Campus</t>
  </si>
  <si>
    <t>(39177) 경상북도 구미시 대학로 61</t>
  </si>
  <si>
    <t>(39177) 61 Daehak-ro, Gumi-si, Gyeongsangbuk-do</t>
  </si>
  <si>
    <t>신평동캠퍼스</t>
  </si>
  <si>
    <t>국립금오공과대학교 신평동캠퍼스</t>
  </si>
  <si>
    <t>Kumoh National Institute of Technology, Sinpyeong Campus</t>
  </si>
  <si>
    <t>(31172) 충청남도 천안시 서북구 월봉로 48</t>
  </si>
  <si>
    <t>(31172) 48 Wolbong-ro, Seobuk-gu, Cheonan-si, Chungcheongnam-do</t>
  </si>
  <si>
    <t>(62271) 광주광역시 광산구 첨단중앙로 23</t>
  </si>
  <si>
    <t>(62271) 23 Cheomdanjungang-ro, Gwangsan-gu, Gwangju</t>
  </si>
  <si>
    <t>죽전캠퍼스</t>
  </si>
  <si>
    <t>단국대학교 죽전캠퍼스</t>
  </si>
  <si>
    <t>Dankook University, Jukjeon Campus</t>
  </si>
  <si>
    <t>(16890) 경기도 용인시 수지구 죽전로 152</t>
  </si>
  <si>
    <t>(16890) 152 Jukjeon-ro, Suji-gu, Yongin-si, Gyeonggi-do</t>
  </si>
  <si>
    <t>천안캠퍼스</t>
  </si>
  <si>
    <t>단국대학교 천안캠퍼스</t>
  </si>
  <si>
    <t>Dankook University, Cheonan Campus</t>
  </si>
  <si>
    <t>(31116) 충청남도 천안시 동남구 단대로 119</t>
  </si>
  <si>
    <t>(31116) 119 Dandae-ro, Dongnam-gu, Cheonan-si, Chungcheongnam-do</t>
  </si>
  <si>
    <t>대구가톨릭대학교 효성캠퍼스</t>
  </si>
  <si>
    <t>Daegu Catholic University, Hyoseong Campus</t>
  </si>
  <si>
    <t>(38430) 경상북도 경산시 하양읍 하양로 13-13</t>
  </si>
  <si>
    <t>(38430) 13-13 Hayang-ro, Hayang-eup, Gyeongsan-si, Gyeongsangbuk-do</t>
  </si>
  <si>
    <t>Daegu Gyeongbuk Institute of Science and Technology (DGIST)</t>
  </si>
  <si>
    <t>대구경북과학기술원(DGIST)</t>
  </si>
  <si>
    <t>(42988) 대구광역시 달성군 현풍읍 테크노중앙대로 333</t>
  </si>
  <si>
    <t>(42988) 333 Techno jungang-daero, Hyeonpung-eup, Dalseong-gun, Daegu</t>
  </si>
  <si>
    <t>국립대구교육대학교</t>
  </si>
  <si>
    <t>(42411) 대구광역시 남구 중앙대로 219</t>
  </si>
  <si>
    <t>(42411) 219 Jungang-daero, Nam-gu, Daegu</t>
  </si>
  <si>
    <t>경산캠퍼스</t>
  </si>
  <si>
    <t>대구대학교 경산캠퍼스</t>
  </si>
  <si>
    <t>Daegu University, Gyeongsan Campus</t>
  </si>
  <si>
    <t>(38453) 경상북도 경산시 진량읍 대구대로 201</t>
  </si>
  <si>
    <t>(38453) 201 Daegudae-ro, Jillyang-eup, Gyeongsan-si, Gyeongsangbuk-do</t>
  </si>
  <si>
    <t>(34520) 대전광역시 동구 대학로 62</t>
  </si>
  <si>
    <t>(34520) 62 Daehak-ro, Dong-gu, Daejeon</t>
  </si>
  <si>
    <t>Daejin University</t>
  </si>
  <si>
    <t>(11159) 경기도 포천시 호국로 1007</t>
  </si>
  <si>
    <t>(11159) 1007 Hoguk-ro, Pocheon-si, Gyeonggi-do</t>
  </si>
  <si>
    <t>동국대학교 서울캠퍼스</t>
  </si>
  <si>
    <t>Dongguk University, Seoul Campus</t>
  </si>
  <si>
    <t>(04620) 서울특별시 중구 필동로1길 30</t>
  </si>
  <si>
    <t>(04620) 30 Pildong-ro 1-gil, Jung-gu, Seoul</t>
  </si>
  <si>
    <t>전남</t>
  </si>
  <si>
    <t>Jeollanam-do</t>
  </si>
  <si>
    <t>(58245) 전라남도 나주시 건재로 185</t>
  </si>
  <si>
    <t>(58245) 185 Geonjae-ro, Naju-si, Jeollanam-do</t>
  </si>
  <si>
    <t>부산</t>
  </si>
  <si>
    <t>구덕캠퍼스</t>
  </si>
  <si>
    <t>동아대학교 구덕캠퍼스</t>
  </si>
  <si>
    <t>Dong-A University, Gudeok Campus</t>
  </si>
  <si>
    <t>Busan</t>
  </si>
  <si>
    <t>(49201) 부산광역시 서구 대신공원로 32</t>
  </si>
  <si>
    <t>(49201) 32, Daesingongwon-ro, Seo-gu, Busan</t>
  </si>
  <si>
    <t>승학캠퍼스</t>
  </si>
  <si>
    <t>동아대학교 승학캠퍼스</t>
  </si>
  <si>
    <t>Dong-A University, Seunghak Campus</t>
  </si>
  <si>
    <t>(49315) 부산광역시 사하구 낙동대로550번길 37</t>
  </si>
  <si>
    <t>(49315) 37 Nakdong-daero 550beon-gil, Saha-gu, Busan</t>
  </si>
  <si>
    <t>부민캠퍼스</t>
  </si>
  <si>
    <t>동아대학교 부민캠퍼스</t>
  </si>
  <si>
    <t>Dong-A University, Bumin Campus</t>
  </si>
  <si>
    <t>(49236) 부산광역시 서구 구덕로 225</t>
  </si>
  <si>
    <t>(49236) 225 Gudeok-ro, Seo-gu, Busan</t>
  </si>
  <si>
    <t>Agent 제시 주소가 구덕캠과 동일 — 별도 확인 필요</t>
  </si>
  <si>
    <t>동의대학교 가야캠퍼스</t>
  </si>
  <si>
    <t>Dong-Eui University, Gaya Campus</t>
  </si>
  <si>
    <t>(47340) 부산광역시 부산진구 엄광로 176</t>
  </si>
  <si>
    <t>(47340) 176 Eomgwang-ro, Busanjin-gu, Busan</t>
  </si>
  <si>
    <t>양정캠퍼스</t>
  </si>
  <si>
    <t>동의대학교 양정캠퍼스</t>
  </si>
  <si>
    <t>Dong-Eui University, Yangjeong Campus</t>
  </si>
  <si>
    <t>(47227) 부산광역시 부산진구 양지로 54</t>
  </si>
  <si>
    <t>(47227) 54 Yangji-ro, Busanjin-gu, Busan</t>
  </si>
  <si>
    <t>국립목포대학교</t>
  </si>
  <si>
    <t>(58554) 전라남도 무안군 청계면 영산로 1666</t>
  </si>
  <si>
    <t>(58554) 1666 Yeongsan-ro, Cheonggye-myeon, Muan-gun, Jeollanam-do</t>
  </si>
  <si>
    <t>국립목포해양대학교</t>
  </si>
  <si>
    <t>(58628) 전라남도 목포시 해양대학로 91</t>
  </si>
  <si>
    <t>(58628) 91 Haeyangdaehak-ro, Mokpo-si, Jeollanam-do</t>
  </si>
  <si>
    <t>(31065) 충청남도 천안시 동남구 문암로 76</t>
  </si>
  <si>
    <t>(31065) 76 Munam-ro, Dongnam-gu, Cheonan-si, Chungcheongnam-do</t>
  </si>
  <si>
    <t>백석문화대학교</t>
  </si>
  <si>
    <t>Baekseok Culture University</t>
  </si>
  <si>
    <t>(31001) 충청남도 천안시 동남구 문암로 58</t>
  </si>
  <si>
    <t>(31001) 58 Munam-ro, Dongnam-gu, Cheonan-si, Chungcheongnam-do</t>
  </si>
  <si>
    <t>백석대와 별개 법인(백석문화대). campus row 로 묶인 것 검토 필요</t>
  </si>
  <si>
    <t>대연캠퍼스</t>
  </si>
  <si>
    <t>국립부경대학교 대연캠퍼스</t>
  </si>
  <si>
    <t>Pukyong National University, Daeyeon Campus</t>
  </si>
  <si>
    <t>(48513) 부산광역시 남구 용소로 45</t>
  </si>
  <si>
    <t>(48513) 45 Yongso-ro, Nam-gu, Busan</t>
  </si>
  <si>
    <t>용당캠퍼스</t>
  </si>
  <si>
    <t>국립부경대학교 용당캠퍼스</t>
  </si>
  <si>
    <t>Pukyong National University, Yongdang Campus</t>
  </si>
  <si>
    <t>(48547) 부산광역시 남구 신선로 365</t>
  </si>
  <si>
    <t>(48547) 365 Sinseon-ro, Nam-gu, Busan</t>
  </si>
  <si>
    <t>국립부산교육대학교</t>
  </si>
  <si>
    <t>(47503) 부산광역시 연제구 교대로 24</t>
  </si>
  <si>
    <t>(47503) 24 Gyodae-ro, Yeonje-gu, Busan</t>
  </si>
  <si>
    <t>2027-03-01 부산대학교와 통합하여 '연제캠퍼스' 출범 예정</t>
  </si>
  <si>
    <t>양산캠퍼스</t>
  </si>
  <si>
    <t>국립부산대학교 양산캠퍼스</t>
  </si>
  <si>
    <t>Pusan National University, Yangsan Campus</t>
  </si>
  <si>
    <t>(50612) 경상남도 양산시 부산대학로 49</t>
  </si>
  <si>
    <t>(50612) 49 Busandaehak-ro, Yangsan-si, Gyeongsangnam-do</t>
  </si>
  <si>
    <t>부산캠퍼스</t>
  </si>
  <si>
    <t>국립부산대학교 부산캠퍼스</t>
  </si>
  <si>
    <t>Pusan National University, Busan Campus</t>
  </si>
  <si>
    <t>(46241) 부산광역시 금정구 부산대학로63번길 2</t>
  </si>
  <si>
    <t>(46241) 2 Busandaehak-ro 63beon-gil, Geumjeong-gu, Busan</t>
  </si>
  <si>
    <t>밀양캠퍼스</t>
  </si>
  <si>
    <t>국립부산대학교 밀양캠퍼스</t>
  </si>
  <si>
    <t>Pusan National University, Miryang Campus</t>
  </si>
  <si>
    <t>(50463) 경상남도 밀양시 삼랑진읍 삼랑진로 1268-50</t>
  </si>
  <si>
    <t>(50463) 1268-50 Samnangjin-ro, Samnangjin-eup, Miryang-si, Gyeongsangnam-do</t>
  </si>
  <si>
    <t>상명대학교 서울캠퍼스</t>
  </si>
  <si>
    <t>Sangmyung University, Seoul Campus</t>
  </si>
  <si>
    <t>(03016) 서울특별시 종로구 홍지문2길 20</t>
  </si>
  <si>
    <t>(03016) 20 Hongjimun 2-gil, Jongno-gu, Seoul</t>
  </si>
  <si>
    <t>(04107) 서울특별시 마포구 백범로 35</t>
  </si>
  <si>
    <t>(04107) 35 Baekbeom-ro, Mapo-gu, Seoul</t>
  </si>
  <si>
    <t>국립서울과학기술대학교</t>
  </si>
  <si>
    <t>Seoul National University of Science and Technology</t>
  </si>
  <si>
    <t>(01811) 서울특별시 노원구 공릉로 232</t>
  </si>
  <si>
    <t>(01811) 232 Gongneung-ro, Nowon-gu, Seoul</t>
  </si>
  <si>
    <t>서울대학교 관악캠퍼스</t>
  </si>
  <si>
    <t>Seoul National University, Gwanak Campus</t>
  </si>
  <si>
    <t>(08826) 서울특별시 관악구 관악로 1</t>
  </si>
  <si>
    <t>(08826) 1 Gwanak-ro, Gwanak-gu, Seoul</t>
  </si>
  <si>
    <t>University of Seoul</t>
  </si>
  <si>
    <t>(02504) 서울특별시 동대문구 서울시립대로 163</t>
  </si>
  <si>
    <t>(02504) 163 Seoulsiripdae-ro, Dongdaemun-gu, Seoul</t>
  </si>
  <si>
    <t>(28674) 충청북도 청주시 서원구 무심서로 377-3</t>
  </si>
  <si>
    <t>(28674) 377-3 Musimseo-ro, Seowon-gu, Cheongju-si, Chungcheongbuk-do</t>
  </si>
  <si>
    <t>Seoil University</t>
  </si>
  <si>
    <t>(02192) 서울특별시 중랑구 용마산로90길 28</t>
  </si>
  <si>
    <t>(02192) 28 Yongmasan-ro 90-gil, Jungnang-gu, Seoul</t>
  </si>
  <si>
    <t>Sungkyul University</t>
  </si>
  <si>
    <t>(14097) 경기도 안양시 만안구 성결대학로 53</t>
  </si>
  <si>
    <t>(14097) 53 Sungkyuldaehak-ro, Manan-gu, Anyang-si, Gyeonggi-do</t>
  </si>
  <si>
    <t>인문사회과학캠퍼스</t>
  </si>
  <si>
    <t>성균관대학교 인문사회과학캠퍼스</t>
  </si>
  <si>
    <t>Sungkyunkwan University, Humanities and Social Sciences Campus</t>
  </si>
  <si>
    <t>(03063) 서울특별시 종로구 성균관로 25-2</t>
  </si>
  <si>
    <t>(03063) 25-2 Sungkyunkwan-ro, Jongno-gu, Seoul</t>
  </si>
  <si>
    <t>자연과학캠퍼스</t>
  </si>
  <si>
    <t>성균관대학교 자연과학캠퍼스</t>
  </si>
  <si>
    <t>Sungkyunkwan University, Natural Sciences Campus</t>
  </si>
  <si>
    <t>(16419) 경기도 수원시 장안구 서부로 2066</t>
  </si>
  <si>
    <t>(16419) 2066 Seobu-ro, Jangan-gu, Suwon-si, Gyeonggi-do</t>
  </si>
  <si>
    <t>Sungshin Women's University, Sujeong Campus</t>
  </si>
  <si>
    <t>성신여자대학교 수정캠퍼스</t>
  </si>
  <si>
    <t>(02844) 서울특별시 성북구 보문로34다길 2</t>
  </si>
  <si>
    <t>(02844) 2 Bomun-ro 34da-gil, Seongbuk-gu, Seoul</t>
  </si>
  <si>
    <t>운정그린캠퍼스</t>
  </si>
  <si>
    <t>성신여자대학교 운정그린캠퍼스</t>
  </si>
  <si>
    <t>Sungshin Women's University, Unjeong Green Campus</t>
  </si>
  <si>
    <t>(01133) 서울특별시 강북구 삼양로 144길 55</t>
  </si>
  <si>
    <t>(01133) 55 Samyang-ro 144-gil, Gangbuk-gu, Seoul</t>
  </si>
  <si>
    <t>Sejong University</t>
  </si>
  <si>
    <t>(05006) 서울특별시 광진구 능동로 209</t>
  </si>
  <si>
    <t>(05006) 209 Neungdong-ro, Gwangjin-gu, Seoul</t>
  </si>
  <si>
    <t>세한대학교 영암캠퍼스</t>
  </si>
  <si>
    <t>Sehan University, Yeongam Campus</t>
  </si>
  <si>
    <t>(58447) 전라남도 영암군 삼호읍 녹색로 1113</t>
  </si>
  <si>
    <t>(58447) 1113 Noksaek-ro, Samho-eup, Yeongam-gun, Jeollanam-do</t>
  </si>
  <si>
    <t>Agent 가 오염된 문자(Arabic) 반환. 실제 주소는 (58447) 전라남도 영암군 학산면 광암길 1 로 알려짐 — 수동 확인 필요</t>
  </si>
  <si>
    <t>당진캠퍼스</t>
  </si>
  <si>
    <t>세한대학교 당진캠퍼스</t>
  </si>
  <si>
    <t>Sehan University, Dangjin Campus</t>
  </si>
  <si>
    <t>(31746) 충청남도 당진시 신평면 서해로 7065</t>
  </si>
  <si>
    <t>(31746) 7065 Seohae-ro, Sinpyeong-myeon, Dangjin-si, Chungcheongnam-do</t>
  </si>
  <si>
    <t>수원대학교 화성캠퍼스</t>
  </si>
  <si>
    <t>The University of Suwon, Hwaseong Campus</t>
  </si>
  <si>
    <t>(18323) 경기도 화성시 봉담읍 와우안길 17</t>
  </si>
  <si>
    <t>(18323) 17 Wauan-gil, Bongdam-eup, Hwaseong-si, Gyeonggi-do</t>
  </si>
  <si>
    <t>Sookmyung Women's University, Cheongpa Campus</t>
  </si>
  <si>
    <t>숙명여자대학교 청파캠퍼스</t>
  </si>
  <si>
    <t>(04310) 서울특별시 용산구 청파로47길 100</t>
  </si>
  <si>
    <t>(04310) 100 Cheongpa-ro 47-gil, Yongsan-gu, Seoul</t>
  </si>
  <si>
    <t>국립순천대학교</t>
  </si>
  <si>
    <t>(57922) 전라남도 순천시 중앙로 255</t>
  </si>
  <si>
    <t>(57922) 255 Jungang-ro, Suncheon-si, Jeollanam-do</t>
  </si>
  <si>
    <t>숭실대학교 상도캠퍼스</t>
  </si>
  <si>
    <t>Soongsil University, Sangdo Campus</t>
  </si>
  <si>
    <t>(06978) 서울특별시 동작구 상도로 369</t>
  </si>
  <si>
    <t>(06978) 369 Sangdo-ro, Dongjak-gu, Seoul</t>
  </si>
  <si>
    <t>신한대학교 제1캠퍼스</t>
  </si>
  <si>
    <t>Shinhan University, Campus 1</t>
  </si>
  <si>
    <t>(11644) 경기도 의정부시 호암로 95</t>
  </si>
  <si>
    <t>(11644) 95 Hoam-ro, Uijeongbu-si, Gyeonggi-do</t>
  </si>
  <si>
    <t>아주대학교 수원캠퍼스</t>
  </si>
  <si>
    <t>Ajou University, Suwon Campus</t>
  </si>
  <si>
    <t>(16499) 경기도 수원시 영통구 월드컵로 206</t>
  </si>
  <si>
    <t>(16499) 206 World cup-ro, Yeongtong-gu, Suwon-si, Gyeonggi-do</t>
  </si>
  <si>
    <t>연세대학교 신촌캠퍼스</t>
  </si>
  <si>
    <t>Yonsei University, Sinchon Campus</t>
  </si>
  <si>
    <t>(03722) 서울특별시 서대문구 연세로 50</t>
  </si>
  <si>
    <t>(03722) 50 Yonsei-ro, Seodaemun-gu, Seoul</t>
  </si>
  <si>
    <t>미래캠퍼스</t>
  </si>
  <si>
    <t>연세대학교 미래캠퍼스</t>
  </si>
  <si>
    <t>Yonsei University, Mirae Campus</t>
  </si>
  <si>
    <t>(26493) 강원특별자치도 원주시 연세대길 1</t>
  </si>
  <si>
    <t>(26493) 1 Yonseidae-gil, Wonju-si, Gangwon-do</t>
  </si>
  <si>
    <t>원주캠퍼스는 2024년부터 미래캠퍼스로 공식 명칭 변경 (Agent 주장 — 검증 필요)</t>
  </si>
  <si>
    <t>연세대학교 국제캠퍼스</t>
  </si>
  <si>
    <t>Yonsei University, International Campus</t>
  </si>
  <si>
    <t>(21983) 인천광역시 연수구 송도과학로 85</t>
  </si>
  <si>
    <t>(21983) 85 Songdogwahak-ro, Yeonsu-gu, Incheon</t>
  </si>
  <si>
    <t>영남대학교 경산캠퍼스</t>
  </si>
  <si>
    <t>Yeungnam University, Gyeongsan Campus</t>
  </si>
  <si>
    <t>(38541) 경상북도 경산시 대학로 280</t>
  </si>
  <si>
    <t>(38541) 280 Daehak-ro, Gyeongsan-si, Gyeongsangbuk-do</t>
  </si>
  <si>
    <t>(42415) 대구광역시 남구 현충로 170</t>
  </si>
  <si>
    <t>(42415) 170 Hyeonchung-ro, Nam-gu, Daegu</t>
  </si>
  <si>
    <t>울산</t>
  </si>
  <si>
    <t>UNIST(Ulsan National Institute of Science and Technology</t>
  </si>
  <si>
    <t>Ulsan National Institute of Science and Technology (UNIST)</t>
  </si>
  <si>
    <t>Ulsan</t>
  </si>
  <si>
    <t>(44919) 울산광역시 울주군 언양읍 유니스트길 50</t>
  </si>
  <si>
    <t>(44919) 50 UNIST-gil, Eonyang-eup, Ulju-gun, Ulsan</t>
  </si>
  <si>
    <t>University of Ulsan</t>
  </si>
  <si>
    <t>(44610) 울산광역시 남구 대학로 93</t>
  </si>
  <si>
    <t>(44610) 93 Daehak-ro, Nam-gu, Ulsan</t>
  </si>
  <si>
    <t>Wonkwang</t>
  </si>
  <si>
    <t>원광대학교 익산캠퍼스</t>
  </si>
  <si>
    <t>Wonkwang University, Iksan Campus</t>
  </si>
  <si>
    <t>(54538) 전라북도 익산시 익산대로 460</t>
  </si>
  <si>
    <t>(54538) 460 Iksan-daero, Iksan-si, Jeollabuk-do</t>
  </si>
  <si>
    <t>Wonkwang Health Science University</t>
  </si>
  <si>
    <t>(54538) 전라북도 익산시 익산대로 514</t>
  </si>
  <si>
    <t>(54538) 514 Iksan-daero, Iksan-si, Jeollabuk-do</t>
  </si>
  <si>
    <t>2026년 3월 원광대학교와 통합</t>
  </si>
  <si>
    <t>(14780) 경기도 부천시 경인로 590</t>
  </si>
  <si>
    <t>(14780) 590 Gyeongin-ro, Bucheon-si, Gyeonggi-do</t>
  </si>
  <si>
    <t>Ewha Womans University</t>
  </si>
  <si>
    <t>(03760) 서울특별시 서대문구 이화여대길 52</t>
  </si>
  <si>
    <t>(03760) 52 Ewhayeodae-gil, Seodaemun-gu, Seoul</t>
  </si>
  <si>
    <t>인제대학교 김해캠퍼스</t>
  </si>
  <si>
    <t>Inje University, Gimhae Campus</t>
  </si>
  <si>
    <t>(50834) 경상남도 김해시 인제로 197</t>
  </si>
  <si>
    <t>(50834) 197 Inje-ro, Gimhae-si, Gyeongsangnam-do</t>
  </si>
  <si>
    <t>국립인천대학교 송도캠퍼스</t>
  </si>
  <si>
    <t>Incheon National University, Songdo Campus</t>
  </si>
  <si>
    <t>(22012) 인천광역시 연수구 아카데미로 119</t>
  </si>
  <si>
    <t>(22012) 119 Academy-ro, Yeonsu-gu, Incheon</t>
  </si>
  <si>
    <t>Inha University</t>
  </si>
  <si>
    <t>(22212) 인천광역시 미추홀구 인하로 100</t>
  </si>
  <si>
    <t>(22212) 100 Inha-ro, Michuhol-gu, Incheon</t>
  </si>
  <si>
    <t>Presbyterian University and Theological Seminary</t>
  </si>
  <si>
    <t>(04965) 서울특별시 광진구 광장로5길 25-1</t>
  </si>
  <si>
    <t>(04965) 25-1 Gwangjang-ro 5-gil, Gwangjin-gu, Seoul</t>
  </si>
  <si>
    <t>화순캠퍼스</t>
  </si>
  <si>
    <t>전남대학교 화순캠퍼스</t>
  </si>
  <si>
    <t>Chonnam National University, Hwasun Campus</t>
  </si>
  <si>
    <t>(58128) 전라남도 화순군 화순읍 서양로 264</t>
  </si>
  <si>
    <t>(58128) 264 Seoyang-ro, Hwasun-eup, Hwasun-gun, Jeollanam-do</t>
  </si>
  <si>
    <t>학동캠퍼스</t>
  </si>
  <si>
    <t>전남대학교 학동캠퍼스</t>
  </si>
  <si>
    <t>Chonnam National University, Hakdong Campus</t>
  </si>
  <si>
    <t>(61469) 광주광역시 동구 제봉로 42</t>
  </si>
  <si>
    <t>(61469) 42 Jebong-ro, Dong-gu, Gwangju</t>
  </si>
  <si>
    <t>여수캠퍼스</t>
  </si>
  <si>
    <t>전남대학교 여수캠퍼스</t>
  </si>
  <si>
    <t>Chonnam National University, Yeosu Campus</t>
  </si>
  <si>
    <t>(59626) 전라남도 여수시 대학로 50</t>
  </si>
  <si>
    <t>(59626) 50 Daehak-ro, Yeosu-si, Jeollanam-do</t>
  </si>
  <si>
    <t>광주캠퍼스</t>
  </si>
  <si>
    <t>전남대학교 광주캠퍼스</t>
  </si>
  <si>
    <t>Chonnam National University, Gwangju Campus</t>
  </si>
  <si>
    <t>(61186) 광주광역시 북구 용봉로 77</t>
  </si>
  <si>
    <t>(61186) 77 Yongbong-ro, Buk-gu, Gwangju</t>
  </si>
  <si>
    <t>Jeonbuk National University, Jeonju Campus</t>
  </si>
  <si>
    <t>전북대학교 전주캠퍼스</t>
  </si>
  <si>
    <t>(54896) 전라북도 전주시 덕진구 백제대로 567</t>
  </si>
  <si>
    <t>(54896) 567 Baekje-daero, Deokjin-gu, Jeonju-si, Jeollabuk-do</t>
  </si>
  <si>
    <t>2019년 영문 교명을 Chonbuk에서 Jeonbuk으로 변경</t>
  </si>
  <si>
    <t>익산캠퍼스</t>
  </si>
  <si>
    <t>Jeonbuk National University, Iksan Specialized Campus</t>
  </si>
  <si>
    <t>전북대학교 익산캠퍼스(특성화)</t>
  </si>
  <si>
    <t>(54596) 전라북도 익산시 고봉로 79</t>
  </si>
  <si>
    <t>(54596) 79 Gobong-ro, Iksan-si, Jeollabuk-do</t>
  </si>
  <si>
    <t>Jeonju National University of Education</t>
  </si>
  <si>
    <t>(55101) 전라북도 전주시 완산구 서학로 50</t>
  </si>
  <si>
    <t>(55101) 50 Seohak-ro, Wansan-gu, Jeonju-si, Jeollabuk-do</t>
  </si>
  <si>
    <t>Jeonju University</t>
  </si>
  <si>
    <t>(55069) 전라북도 전주시 완산구 천잠로 303</t>
  </si>
  <si>
    <t>(55069) 303 Cheonjam-ro, Wansan-gu, Jeonju-si, Jeollabuk-do</t>
  </si>
  <si>
    <t>(55069) 전라북도 전주시 완산구 천잠로 235</t>
  </si>
  <si>
    <t>(55069) 235 Cheonjam-ro, Wansan-gu, Jeonju-si, Jeollabuk-do</t>
  </si>
  <si>
    <t>제주</t>
  </si>
  <si>
    <t>아라캠퍼스</t>
  </si>
  <si>
    <t>국립제주대학교 아라캠퍼스</t>
  </si>
  <si>
    <t>Jeju National University, Ara Campus</t>
  </si>
  <si>
    <t>Jeju-do</t>
  </si>
  <si>
    <t>(63243) 제주특별자치도 제주시 제주대학로 102</t>
  </si>
  <si>
    <t>(63243) 102 Jejudaehak-ro, Jeju-si, Jeju-do</t>
  </si>
  <si>
    <t>Chosun University</t>
  </si>
  <si>
    <t>(61452) 광주광역시 동구 필문대로 309</t>
  </si>
  <si>
    <t>(61452) 309 Pilmun-daero, Dong-gu, Gwangju</t>
  </si>
  <si>
    <t>2026년 2월부터 조선 간호대와 통합 추진 중</t>
  </si>
  <si>
    <t>다빈치캠퍼스</t>
  </si>
  <si>
    <t>중앙대학교 다빈치캠퍼스</t>
  </si>
  <si>
    <t>Chung-Ang University, Da Vinci Campus</t>
  </si>
  <si>
    <t>(17546) 경기도 안성시 대덕면 서동대로 4726</t>
  </si>
  <si>
    <t>(17546) 4726 Seodong-daero, Daedeok-myeon, Anseong-si, Gyeonggi-do</t>
  </si>
  <si>
    <t>중앙대학교 서울캠퍼스</t>
  </si>
  <si>
    <t>Chung-Ang University, Seoul Campus</t>
  </si>
  <si>
    <t>(06974) 서울특별시 동작구 흑석로 84</t>
  </si>
  <si>
    <t>(06974) 84 Heukseok-ro, Dongjak-gu, Seoul</t>
  </si>
  <si>
    <t>국립창원대학교</t>
  </si>
  <si>
    <t>(51140) 경상남도 창원시 의창구 창원대학로 20</t>
  </si>
  <si>
    <t>(51140) 20 Changwondaehak-ro, Uichang-gu, Changwon-si, Gyeongsangnam-do</t>
  </si>
  <si>
    <t>Cheongju National University of Education</t>
  </si>
  <si>
    <t>(28690) 충청북도 청주시 서원구 청남로 2065</t>
  </si>
  <si>
    <t>(28690) 2065 Cheongnam-ro, Seowon-gu, Cheongju-si, Chungcheongbuk-do</t>
  </si>
  <si>
    <t>Chuncheon National University of Education</t>
  </si>
  <si>
    <t>(24328) 강원특별자치도 춘천시 공지로 126</t>
  </si>
  <si>
    <t>(24328) 126 Gongji-ro, Chuncheon-si, Gangwon-do</t>
  </si>
  <si>
    <t>충남대학교 대덕캠퍼스</t>
  </si>
  <si>
    <t>Chungnam National University, Daedeok Campus</t>
  </si>
  <si>
    <t>(34134) 대전광역시 유성구 대학로 99</t>
  </si>
  <si>
    <t>(34134) 99 Daehak-ro, Yuseong-gu, Daejeon</t>
  </si>
  <si>
    <t>2028년 3월 국립공주대와 통합 예정</t>
  </si>
  <si>
    <t>보운캠퍼스</t>
  </si>
  <si>
    <t>충남대학교 보운캠퍼스</t>
  </si>
  <si>
    <t>Chungnam National University, Boun Campus</t>
  </si>
  <si>
    <t>(35015) 대전광역시 중구 문화로 266</t>
  </si>
  <si>
    <t>(35015) 266 Munhwa-ro, Jung-gu, Daejeon</t>
  </si>
  <si>
    <t>(28644) 충청북도 청주시 서원구 충대로 1</t>
  </si>
  <si>
    <t>(28644) 1 Chungdae-ro, Seowon-gu, Cheongju-si, Chungcheongbuk-do</t>
  </si>
  <si>
    <t>Agent: 한국교통대학교와 통합 추진 중 주장 — 검증 필요</t>
  </si>
  <si>
    <t>Chungbuk Health &amp; Science University</t>
  </si>
  <si>
    <t>(28150) 충청북도 청주시 청원구 내수읍 덕암길 10</t>
  </si>
  <si>
    <t>(28150) 10 Deogam-gil, Naesu-eup, Cheongwon-gu, Cheongju-si, Chungcheongbuk-do</t>
  </si>
  <si>
    <t>Pohang University of Science and Technology (POSTECH)</t>
  </si>
  <si>
    <t>(37673) 경상북도 포항시 남구 청암로 77</t>
  </si>
  <si>
    <t>(37673) 77 Cheongam-ro, Nam-gu, Pohang-si, Gyeongsangbuk-do</t>
  </si>
  <si>
    <t>한국공학대학교 시흥캠퍼스</t>
  </si>
  <si>
    <t>Tech University of Korea, Siheung Campus</t>
  </si>
  <si>
    <t>(15073) 경기도 시흥시 산기대학로 237</t>
  </si>
  <si>
    <t>(15073) 237 Sangidaehak-ro, Siheung-si, Gyeonggi-do</t>
  </si>
  <si>
    <t>2022년 한국산업기술대학교에서 한국공학대학교로 교명 변경</t>
  </si>
  <si>
    <t>한국공학대학교 제2캠퍼스</t>
  </si>
  <si>
    <t>한국공학대학교 제2캠퍼스(정왕)</t>
  </si>
  <si>
    <t>Tech University of Korea, 2nd Campus</t>
  </si>
  <si>
    <t>(15073) 경기도 시흥시 정왕대로 271</t>
  </si>
  <si>
    <t>(15073) 271 Jeongwang-daero, Siheung-si, Gyeonggi-do</t>
  </si>
  <si>
    <t>국립한국교원대학교</t>
  </si>
  <si>
    <t>Korea National University of Education</t>
  </si>
  <si>
    <t>(28173) 충청북도 청주시 흥덕구 강내면 태성탑연로 250</t>
  </si>
  <si>
    <t>(28173) 250 Taeseongtabyeon-ro, Gangnae-myeon, Heungdeok-gu, Cheongju-si, Chungcheongbuk-do</t>
  </si>
  <si>
    <t>Korea University of Technology and Education (KOREATECH)</t>
  </si>
  <si>
    <t>(31253) 충청남도 천안시 동남구 병천면 충절로 1600</t>
  </si>
  <si>
    <t>(31253) 1600 Chungjeol-ro, Byeongcheon-myeon, Dongnam-gu, Cheonan-si, Chungcheongnam-do</t>
  </si>
  <si>
    <t>국립한국방송통신대학교 본부</t>
  </si>
  <si>
    <t>Korea National Open University (Headquarters)</t>
  </si>
  <si>
    <t>(03087) 서울특별시 종로구 대학로 86</t>
  </si>
  <si>
    <t>(03087) 86 Daehak-ro, Jongno-gu, Seoul</t>
  </si>
  <si>
    <t>강원지역대학 강릉시학습관</t>
  </si>
  <si>
    <t>국립한국방송통신대학교 강원지역대학 강릉시학습관</t>
  </si>
  <si>
    <t>Korea National Open University Gangwon Regional College Gangneung Study Center</t>
  </si>
  <si>
    <t>(25522) 강원특별자치도 강릉시 남구길 29</t>
  </si>
  <si>
    <t>(25522) 29 Namgu-gil, Gangneung-si, Gangwon-do</t>
  </si>
  <si>
    <t>제주지역대학</t>
  </si>
  <si>
    <t>국립한국방송통신대학교 제주지역대학</t>
  </si>
  <si>
    <t>Korea National Open University Jeju Regional College</t>
  </si>
  <si>
    <t>(63219) 제주특별자치도 제주시 명림로 261</t>
  </si>
  <si>
    <t>(63219) 261 Myeongnim-ro, Jeju-si, Jeju-do</t>
  </si>
  <si>
    <t>부산지역대학</t>
  </si>
  <si>
    <t>국립한국방송통신대학교 부산지역대학</t>
  </si>
  <si>
    <t>Korea National Open University Busan Regional College</t>
  </si>
  <si>
    <t>(47340) 부산광역시 부산진구 중앙대로 997</t>
  </si>
  <si>
    <t>(47340) 997 Jungang-daero, Busanjin-gu, Busan</t>
  </si>
  <si>
    <t>대전충남지역대학</t>
  </si>
  <si>
    <t>국립한국방송통신대학교 대전충남지역대학</t>
  </si>
  <si>
    <t>Korea National Open University Daejeon-Chungnam Regional College</t>
  </si>
  <si>
    <t>(35203) 대전광역시 서구 계룡로 314</t>
  </si>
  <si>
    <t>(35203) 314 Gyeryong-ro, Seo-gu, Daejeon</t>
  </si>
  <si>
    <t>서울지역대학</t>
  </si>
  <si>
    <t>국립한국방송통신대학교 서울지역대학</t>
  </si>
  <si>
    <t>Korea National Open University Seoul Regional College</t>
  </si>
  <si>
    <t>(04799) 서울특별시 성동구 아차산로 66</t>
  </si>
  <si>
    <t>(04799) 66 Achasan-ro, Seongdong-gu, Seoul</t>
  </si>
  <si>
    <t>대구경북지역대학</t>
  </si>
  <si>
    <t>국립한국방송통신대학교 대구경북지역대학</t>
  </si>
  <si>
    <t>Korea National Open University Daegu-Gyeongbuk Regional College</t>
  </si>
  <si>
    <t>(41937) 대구광역시 중구 국채보상로 731</t>
  </si>
  <si>
    <t>(41937) 731 Gukchaebosang-ro, Jung-gu, Daegu</t>
  </si>
  <si>
    <t>서울지역대학 남부학습센터</t>
  </si>
  <si>
    <t>국립한국방송통신대학교 서울지역대학 남부학습센터</t>
  </si>
  <si>
    <t>Korea National Open University Seoul Regional College Southern Study Center</t>
  </si>
  <si>
    <t>(08505) 서울특별시 금천구 시흥대로 391</t>
  </si>
  <si>
    <t>(08505) 391 Siheung-daero, Geumcheon-gu, Seoul</t>
  </si>
  <si>
    <t>서울지역대학 서부학습센터</t>
  </si>
  <si>
    <t>국립한국방송통신대학교 서울지역대학 서부학습센터</t>
  </si>
  <si>
    <t>Korea National Open University Seoul Regional College Western Study Center</t>
  </si>
  <si>
    <t>(10364) 경기도 고양시 일산동구 중앙로 1275번길 38-10</t>
  </si>
  <si>
    <t>(10364) 38-10 Jungang-ro 1275beon-gil, Ilsandong-gu, Goyang-si, Gyeonggi-do</t>
  </si>
  <si>
    <t>전북지역대학</t>
  </si>
  <si>
    <t>국립한국방송통신대학교 전북지역대학</t>
  </si>
  <si>
    <t>Korea National Open University Jeonbuk Regional College</t>
  </si>
  <si>
    <t>(54906) 전북특별자치도 전주시 덕진구 벚꽃로 54</t>
  </si>
  <si>
    <t>(54906) 54 Beotkkot-ro, Deokjin-gu, Jeonju-si, Jeollabuk-do</t>
  </si>
  <si>
    <t>강원지역대학</t>
  </si>
  <si>
    <t>국립한국방송통신대학교 강원지역대학</t>
  </si>
  <si>
    <t>Korea National Open University Gangwon Regional College</t>
  </si>
  <si>
    <t>(24239) 강원특별자치도 춘천시 영서로 2854</t>
  </si>
  <si>
    <t>(24239) 2854 Yeongseo-ro, Chuncheon-si, Gangwon-do</t>
  </si>
  <si>
    <t>울산지역대학</t>
  </si>
  <si>
    <t>국립한국방송통신대학교 울산지역대학</t>
  </si>
  <si>
    <t>Korea National Open University Ulsan Regional College</t>
  </si>
  <si>
    <t>(44676) 울산광역시 남구 대학로 93</t>
  </si>
  <si>
    <t>(44676) 93 Daehak-ro, Nam-gu, Ulsan</t>
  </si>
  <si>
    <t>인천지역대학</t>
  </si>
  <si>
    <t>국립한국방송통신대학교 인천지역대학</t>
  </si>
  <si>
    <t>Korea National Open University Incheon Regional College</t>
  </si>
  <si>
    <t>(22123) 인천광역시 미추홀구 아암대로 175</t>
  </si>
  <si>
    <t>(22123) 175 Aam-daero, Michuhol-gu, Incheon</t>
  </si>
  <si>
    <t>충북지역대학</t>
  </si>
  <si>
    <t>국립한국방송통신대학교 충북지역대학</t>
  </si>
  <si>
    <t>Korea National Open University Chungbuk Regional College</t>
  </si>
  <si>
    <t>(28515) 충청북도 청주시 상당구 상당로 106</t>
  </si>
  <si>
    <t>(28515) 106 Sangdang-ro, Sangdang-gu, Cheongju-si, Chungcheongbuk-do</t>
  </si>
  <si>
    <t>광주전남지역대학</t>
  </si>
  <si>
    <t>국립한국방송통신대학교 광주전남지역대학</t>
  </si>
  <si>
    <t>Korea National Open University Gwangju-Jeonnam Regional College</t>
  </si>
  <si>
    <t>(62204) 광주광역시 광산구 상무대로 312</t>
  </si>
  <si>
    <t>(62204) 312 Sangmu-daero, Gwangsan-gu, Gwangju</t>
  </si>
  <si>
    <t>경남지역대학 창원시학습관</t>
  </si>
  <si>
    <t>국립한국방송통신대학교 경남지역대학 창원시학습관</t>
  </si>
  <si>
    <t>Korea National Open University Gyeongnam Regional College Changwon Study Center</t>
  </si>
  <si>
    <t>(51439) 경상남도 창원시 의창구 원이대로 362</t>
  </si>
  <si>
    <t>(51439) 362 Wonidaero, Uichang-gu, Changwon-si, Gyeongsangnam-do</t>
  </si>
  <si>
    <t>경기지역대학</t>
  </si>
  <si>
    <t>국립한국방송통신대학교 경기지역대학</t>
  </si>
  <si>
    <t>Korea National Open University Gyeonggi Regional College</t>
  </si>
  <si>
    <t>(16490) 경기도 수원시 권선구 경수대로 270</t>
  </si>
  <si>
    <t>(16490) 270 Gyeongsu-daero, Gwonseon-gu, Suwon-si, Gyeonggi-do</t>
  </si>
  <si>
    <t>경기지역대학 성남시학습관</t>
  </si>
  <si>
    <t>국립한국방송통신대학교 경기지역대학 성남시학습관</t>
  </si>
  <si>
    <t>Korea National Open University Gyeonggi Regional College Seongnam Study Center</t>
  </si>
  <si>
    <t>(13590) 경기도 성남시 분당구 성남대로 2</t>
  </si>
  <si>
    <t>(13590) 2 Seongnam-daero, Bundang-gu, Seongnam-si, Gyeonggi-do</t>
  </si>
  <si>
    <t>Korea Institute of Energy Technology (KENTECH)</t>
  </si>
  <si>
    <t>(58330) 전라남도 나주시 에너지공대길 200</t>
  </si>
  <si>
    <t>(58330) 200 Energygongdae-gil, Naju-si, Jeollanam-do</t>
  </si>
  <si>
    <t>한국외국어대학교 서울캠퍼스</t>
  </si>
  <si>
    <t>Hankuk University of Foreign Studies, Seoul Campus</t>
  </si>
  <si>
    <t>(02450) 서울특별시 동대문구 이문로 107</t>
  </si>
  <si>
    <t>(02450) 107 Imun-ro, Dongdaemun-gu, Seoul</t>
  </si>
  <si>
    <t>국립한국체육대학교</t>
  </si>
  <si>
    <t>(05541) 서울특별시 송파구 양재대로 1239</t>
  </si>
  <si>
    <t>(05541) 1239 Yangjae-daero, Songpa-gu, Seoul</t>
  </si>
  <si>
    <t>Korea Aerospace University</t>
  </si>
  <si>
    <t>(10540) 경기도 고양시 덕양구 항공대학로 76</t>
  </si>
  <si>
    <t>(10540) 76 Hanggongdaehak-ro, Deogyang-gu, Goyang-si, Gyeonggi-do</t>
  </si>
  <si>
    <t>국립한국해양대학교</t>
  </si>
  <si>
    <t>(49112) 부산광역시 영도구 태종로 727</t>
  </si>
  <si>
    <t>(49112) 727 Taejong-ro, Yeongdo-gu, Busan</t>
  </si>
  <si>
    <t>Agent 가 영문명에 'National' 접두 추가했으나 공식은 'Korea Maritime and Ocean University' — 수정됨</t>
  </si>
  <si>
    <t>한남대학교 오정동캠퍼스</t>
  </si>
  <si>
    <t>Hannam University, Daedeok Campus</t>
  </si>
  <si>
    <t>(34430) 대전광역시 대덕구 한남로 70</t>
  </si>
  <si>
    <t>(34430) 70 Hannam-ro, Daedeok-gu, Daejeon</t>
  </si>
  <si>
    <t>한남대 본교 공식명 확인 필요 (대덕구 오정동 / 대덕캠퍼스 표현 혼용)</t>
  </si>
  <si>
    <t>대덕밸리캠퍼스</t>
  </si>
  <si>
    <t>한남대학교 대덕밸리캠퍼스</t>
  </si>
  <si>
    <t>Hannam University, Daedeok Valley Campus</t>
  </si>
  <si>
    <t>(34054) 대전광역시 유성구 문지로 125</t>
  </si>
  <si>
    <t>(34054) 125 Munji-ro, Yuseong-gu, Daejeon</t>
  </si>
  <si>
    <t>(37554) 경상북도 포항시 북구 흥해읍 한동로 558</t>
  </si>
  <si>
    <t>(37554) 558 Handong-ro, Heunghae-eup, Buk-gu, Pohang-si, Gyeongsangbuk-do</t>
  </si>
  <si>
    <t>(24252) 강원특별자치도 춘천시 한림대학길 1</t>
  </si>
  <si>
    <t>(24252) 1 Hallymdaehak-gil, Chuncheon-si, Gangwon-do</t>
  </si>
  <si>
    <t>(15852) 경기도 군포시 한세로 30</t>
  </si>
  <si>
    <t>(15852) 30 Hansei-ro, Gunpo-si, Gyeonggi-do</t>
  </si>
  <si>
    <t>한양대학교 서울캠퍼스</t>
  </si>
  <si>
    <t>Hanyang University, Seoul Campus</t>
  </si>
  <si>
    <t>(04763) 서울특별시 성동구 왕십리로 222</t>
  </si>
  <si>
    <t>(04763) 222 Wangsimni-ro, Seongdong-gu, Seoul</t>
  </si>
  <si>
    <t>ERICA캠퍼스</t>
  </si>
  <si>
    <t>한양대학교 ERICA캠퍼스</t>
  </si>
  <si>
    <t>Hanyang University, ERICA Campus</t>
  </si>
  <si>
    <t>(15588) 경기도 안산시 상록구 한양대학로 55</t>
  </si>
  <si>
    <t>(15588) 55 Hanyangdaehak-ro, Sangnok-gu, Ansan-si, Gyeonggi-do</t>
  </si>
  <si>
    <t>호남대학교 광산캠퍼스</t>
  </si>
  <si>
    <t>Honam University, Gwangsan Campus</t>
  </si>
  <si>
    <t>(62399) 광주광역시 광산구 어등대로 417</t>
  </si>
  <si>
    <t>(62399) 417 Eodeung-daero, Gwangsan-gu, Gwangju</t>
  </si>
  <si>
    <t>호남대 공식 캠퍼스명 확인 필요</t>
  </si>
  <si>
    <t>홍익대학교 세종캠퍼스</t>
  </si>
  <si>
    <t>Hongik University, Sejong Campus</t>
  </si>
  <si>
    <t>(30016) 세종특별자치시 조치원읍 세종로 2639</t>
  </si>
  <si>
    <t>(30016) 2639 Sejong-ro, Jochiwon-eup, Sejong</t>
  </si>
  <si>
    <t>xlsx 에 홍익대 '본교' 2행 중 어느 것이 서울/세종인지 확인 필요</t>
  </si>
  <si>
    <t>홍익대학교 서울캠퍼스</t>
  </si>
  <si>
    <t>Hongik University, Seoul Campus</t>
  </si>
  <si>
    <t>(04066) 서울특별시 마포구 와우산로 94</t>
  </si>
  <si>
    <t>(04066) 94 Wausan-ro, Mapo-gu, Seoul</t>
  </si>
  <si>
    <t>KDI국</t>
  </si>
  <si>
    <t>KDI School of Public Policy and Management</t>
  </si>
  <si>
    <t>(30149) 세종특별자치시 남세종로 263</t>
  </si>
  <si>
    <t>(30149) 263 Namsejong-ro, Sejong</t>
  </si>
  <si>
    <t>본원</t>
  </si>
  <si>
    <t>KISTI</t>
  </si>
  <si>
    <t>(34141) 대전광역시 유성구 대학로 245</t>
  </si>
  <si>
    <t>245 Daehangno, Yuseong-gu, Daejeon 34141</t>
  </si>
  <si>
    <t>대전컨벤션센터</t>
  </si>
  <si>
    <t>대전 컨벤션 센터</t>
  </si>
  <si>
    <t>DCC, Daejeon Convention Center</t>
  </si>
  <si>
    <t>location_name_ko</t>
  </si>
  <si>
    <t>location_name_en</t>
  </si>
  <si>
    <t>IT융합대학</t>
  </si>
  <si>
    <t>IT Convergence University</t>
  </si>
  <si>
    <t>글로벌센터</t>
  </si>
  <si>
    <t>Global Center</t>
  </si>
  <si>
    <t>예술체육대학1</t>
  </si>
  <si>
    <t>College of Arts and Physical Education1</t>
  </si>
  <si>
    <t>예술체육대학2</t>
  </si>
  <si>
    <t>College of Arts and Physical Education2</t>
  </si>
  <si>
    <t>가천관</t>
  </si>
  <si>
    <t>Gachon</t>
  </si>
  <si>
    <t>산학협력관</t>
  </si>
  <si>
    <t>Industry-University Cooperation Hall</t>
  </si>
  <si>
    <t>바이오나노연구원</t>
  </si>
  <si>
    <t>Bio Nano Research Institute</t>
  </si>
  <si>
    <t>한의과대학</t>
  </si>
  <si>
    <t>College of Oriental Medicine</t>
  </si>
  <si>
    <t>일반대학원</t>
  </si>
  <si>
    <t>General graduate school</t>
  </si>
  <si>
    <t>중앙도서관</t>
  </si>
  <si>
    <t>library</t>
  </si>
  <si>
    <t>비전타워</t>
  </si>
  <si>
    <t>Vision Tower</t>
  </si>
  <si>
    <t>공과대학2</t>
  </si>
  <si>
    <t>College of Engineering2</t>
  </si>
  <si>
    <t>교육대학원</t>
  </si>
  <si>
    <t>Graduate School of Education</t>
  </si>
  <si>
    <t>Central Library</t>
  </si>
  <si>
    <t>학생회관</t>
  </si>
  <si>
    <t>Student hall</t>
  </si>
  <si>
    <t>AI공학관</t>
  </si>
  <si>
    <t>AI Engineering Building</t>
  </si>
  <si>
    <t>보건과학대학</t>
  </si>
  <si>
    <t>College of Health Sciences</t>
  </si>
  <si>
    <t>간호대학</t>
  </si>
  <si>
    <t>College of Nursing</t>
  </si>
  <si>
    <t>약학대학</t>
  </si>
  <si>
    <t>College of Pharmacy</t>
  </si>
  <si>
    <t>체육관</t>
  </si>
  <si>
    <t>Sports Center</t>
  </si>
  <si>
    <t>미래관</t>
  </si>
  <si>
    <t>Future Hall</t>
  </si>
  <si>
    <t>대학본관</t>
  </si>
  <si>
    <t>the headquarters of a university</t>
  </si>
  <si>
    <t>입학정보관</t>
  </si>
  <si>
    <t>Administration &amp;amp; Information Technology Bldg.</t>
  </si>
  <si>
    <t>Glocal Campus</t>
  </si>
  <si>
    <t>창의융합캠퍼스</t>
  </si>
  <si>
    <t>명곡정보관</t>
  </si>
  <si>
    <t>Myeongkok</t>
  </si>
  <si>
    <t>창원시학습관</t>
  </si>
  <si>
    <t>Gyeongnam Regional Campus</t>
  </si>
  <si>
    <t>정보전산팀</t>
  </si>
  <si>
    <t>Computation and Communication Team</t>
  </si>
  <si>
    <t>본관</t>
  </si>
  <si>
    <t>Main Administration Bldg.</t>
  </si>
  <si>
    <t>해양누리관</t>
  </si>
  <si>
    <t>구본관</t>
  </si>
  <si>
    <t>대학본부</t>
  </si>
  <si>
    <t>Administration Building</t>
  </si>
  <si>
    <t>의과대학</t>
  </si>
  <si>
    <t>구</t>
  </si>
  <si>
    <t>인천캠퍼스</t>
  </si>
  <si>
    <t>Seoul Campus</t>
  </si>
  <si>
    <t>International Campus</t>
  </si>
  <si>
    <t>미래융합기술관 디지털정보처</t>
  </si>
  <si>
    <t>세종학술정보원  IT지원</t>
  </si>
  <si>
    <t>정보전산원</t>
  </si>
  <si>
    <t>Information and Communication Institute</t>
  </si>
  <si>
    <t>호심관</t>
  </si>
  <si>
    <t>hosim-hall</t>
  </si>
  <si>
    <t>Main Building</t>
  </si>
  <si>
    <t>광주보건대학교 여호수아관</t>
  </si>
  <si>
    <t>N1동 대학본부</t>
  </si>
  <si>
    <t>Administration Building (N1</t>
  </si>
  <si>
    <t>본부관</t>
  </si>
  <si>
    <t>Administration Hall</t>
  </si>
  <si>
    <t>신재생에너지관</t>
  </si>
  <si>
    <t>New &amp;amp; Renewable Energy Center</t>
  </si>
  <si>
    <t>Main Office</t>
  </si>
  <si>
    <t>정보혁신팀</t>
  </si>
  <si>
    <t>Information Innovation Team</t>
  </si>
  <si>
    <t>삼애관</t>
  </si>
  <si>
    <t>SamAe</t>
  </si>
  <si>
    <t>범정관 디지털정보원</t>
  </si>
  <si>
    <t>Beomjeong Hall Digital Information Center</t>
  </si>
  <si>
    <t>산학협력관 디지털정보원</t>
  </si>
  <si>
    <t>Industry-Academia Cooperation Hall Digital Information Center</t>
  </si>
  <si>
    <t>E1</t>
  </si>
  <si>
    <t>대구대학교 경산켐퍼스</t>
  </si>
  <si>
    <t>Daegu University Computing Center</t>
  </si>
  <si>
    <t>캠퍼스 전체</t>
  </si>
  <si>
    <t>CAMPUS</t>
  </si>
  <si>
    <t>의과대</t>
  </si>
  <si>
    <t>College of Medicine  Bldg1</t>
  </si>
  <si>
    <t>한림도서관</t>
  </si>
  <si>
    <t>Hanlim Library</t>
  </si>
  <si>
    <t>종합강의동</t>
  </si>
  <si>
    <t>Master classes Bldg</t>
  </si>
  <si>
    <t>전산정보원</t>
  </si>
  <si>
    <t>information &amp;amp; infra Management Team</t>
  </si>
  <si>
    <t>용당본관</t>
  </si>
  <si>
    <t>Yongdang Main Building</t>
  </si>
  <si>
    <t>University&amp;#39;s Main Building</t>
  </si>
  <si>
    <t>경암의학관</t>
  </si>
  <si>
    <t>School of Medicine</t>
  </si>
  <si>
    <t>정보화본부</t>
  </si>
  <si>
    <t>ITCenter</t>
  </si>
  <si>
    <t>행정지원본부동</t>
  </si>
  <si>
    <t>도서관</t>
  </si>
  <si>
    <t>정보통신원</t>
  </si>
  <si>
    <t>Institute Information Commucation Center</t>
  </si>
  <si>
    <t>Administration Bldg</t>
  </si>
  <si>
    <t>관정도서관</t>
  </si>
  <si>
    <t>Kwanjeong Library</t>
  </si>
  <si>
    <t>21세기관</t>
  </si>
  <si>
    <t>The 21st Century Building</t>
  </si>
  <si>
    <t>중생관</t>
  </si>
  <si>
    <t>Joongsanggwan</t>
  </si>
  <si>
    <t>정보통신처</t>
  </si>
  <si>
    <t>Information and Communications Division</t>
  </si>
  <si>
    <t>학술정보원</t>
  </si>
  <si>
    <t>IT Management Team</t>
  </si>
  <si>
    <t>운정캠퍼스</t>
  </si>
  <si>
    <t>The University Of Suwon</t>
  </si>
  <si>
    <t>Information Computer Center</t>
  </si>
  <si>
    <t>정보화센터</t>
  </si>
  <si>
    <t>Information Center</t>
  </si>
  <si>
    <t>MIRAE CAMPUS</t>
  </si>
  <si>
    <t>학술정보관</t>
  </si>
  <si>
    <t>국제관</t>
  </si>
  <si>
    <t>International Hall</t>
  </si>
  <si>
    <t>멀티미디어센터</t>
  </si>
  <si>
    <t>Multimedia Center</t>
  </si>
  <si>
    <t>기초연구동</t>
  </si>
  <si>
    <t>Basic Research Building</t>
  </si>
  <si>
    <t>명학</t>
  </si>
  <si>
    <t>Administration</t>
  </si>
  <si>
    <t>University Administration</t>
  </si>
  <si>
    <t>전산사회관</t>
  </si>
  <si>
    <t>Computer &amp;amp; Social Studies Hall</t>
  </si>
  <si>
    <t>Information &amp;amp; IT infra Management Team</t>
  </si>
  <si>
    <t>University Headquarters</t>
  </si>
  <si>
    <t>과학기술연합대학원대학교 본부</t>
  </si>
  <si>
    <t>UST Headquarters</t>
  </si>
  <si>
    <t>의과대학본관</t>
  </si>
  <si>
    <t>College of Medicine</t>
  </si>
  <si>
    <t>Electronic Information Center</t>
  </si>
  <si>
    <t>오창캠퍼스</t>
  </si>
  <si>
    <t>Ochang campus Fusion Technology Institute</t>
  </si>
  <si>
    <t>한국공학대학교 본교</t>
  </si>
  <si>
    <t>TECH UNIVERSITY OF KOREA campus 2</t>
  </si>
  <si>
    <t>다산정보관</t>
  </si>
  <si>
    <t>Dasan Library</t>
  </si>
  <si>
    <t>Headquarter Hall</t>
  </si>
  <si>
    <t>Jeju Regional Campus</t>
  </si>
  <si>
    <t>Busan Regional Campus</t>
  </si>
  <si>
    <t>Daejeon-Chungnam Regional Campus</t>
  </si>
  <si>
    <t>Seoul Regional Campus</t>
  </si>
  <si>
    <t>Daegu-Gyeongbuk Regional Campus</t>
  </si>
  <si>
    <t>Jeonbuk Regional Campus</t>
  </si>
  <si>
    <t>Gangwon Regional Campus</t>
  </si>
  <si>
    <t>Ulsan Regional Campus</t>
  </si>
  <si>
    <t>Incheon Regional Campus</t>
  </si>
  <si>
    <t>Chungbuk Regional Campus</t>
  </si>
  <si>
    <t>Gwangju-Jeonnam Regional Campus</t>
  </si>
  <si>
    <t>Gyeonggi Regional Campus</t>
  </si>
  <si>
    <t>일동</t>
  </si>
  <si>
    <t>1st Dong</t>
  </si>
  <si>
    <t>정보처</t>
  </si>
  <si>
    <t>Information System Team</t>
  </si>
  <si>
    <t>전산정보전략팀</t>
  </si>
  <si>
    <t>Science museum</t>
  </si>
  <si>
    <t>NATIONAL Korea Maritime &amp;amp; Ocean University</t>
  </si>
  <si>
    <t>오석관</t>
  </si>
  <si>
    <t>Oh-seok Building</t>
  </si>
  <si>
    <t>대학본부별관</t>
  </si>
  <si>
    <t>Administration Annex</t>
  </si>
  <si>
    <t>한양여자대학교</t>
  </si>
  <si>
    <t>Hanyang Women&amp;#39;s University</t>
  </si>
  <si>
    <t>에리카 정보통신처</t>
  </si>
  <si>
    <t>ERICA Information &amp;amp; IT infra Management Team</t>
  </si>
  <si>
    <t>성인관</t>
  </si>
  <si>
    <t>7-hogwan</t>
  </si>
  <si>
    <t>오송캠퍼스</t>
  </si>
  <si>
    <t>Osong Campus Clooege of Pharmacy the 1nd Hall</t>
  </si>
  <si>
    <t>Computing Center</t>
  </si>
  <si>
    <t>본관건물</t>
  </si>
  <si>
    <t>Sejong Campus Veterinary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</si>
</sst>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u/>
      <sz val="11"/>
      <color rgb="FF0000FF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/>
    <xf numFmtId="0" fontId="3" fillId="0" borderId="0" xfId="1"/>
    <xf numFmtId="0" fontId="3" fillId="0" borderId="1" xfId="1" applyBorder="1"/>
    <xf numFmtId="0" fontId="4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inue.ac.kr/kor/CMS/Contents/Contents.do?mCode=MN313" TargetMode="External"/><Relationship Id="rId13" Type="http://schemas.openxmlformats.org/officeDocument/2006/relationships/hyperlink" Target="https://www.ut.ac.kr/kor/sub06_03_03_01.do" TargetMode="External"/><Relationship Id="rId18" Type="http://schemas.openxmlformats.org/officeDocument/2006/relationships/hyperlink" Target="https://it.dongguk.edu/?page_id=18649" TargetMode="External"/><Relationship Id="rId26" Type="http://schemas.openxmlformats.org/officeDocument/2006/relationships/hyperlink" Target="https://its.jbnu.ac.kr/its/9226/subview.do" TargetMode="External"/><Relationship Id="rId3" Type="http://schemas.openxmlformats.org/officeDocument/2006/relationships/hyperlink" Target="https://kuinc.konkuk.ac.kr/kuinc/15896/subview.do" TargetMode="External"/><Relationship Id="rId21" Type="http://schemas.openxmlformats.org/officeDocument/2006/relationships/hyperlink" Target="https://cis.uos.ac.kr/ithelpdesk/html/network/wifi.do?menuid=1089004001000000000&amp;identified=anonymous&amp;" TargetMode="External"/><Relationship Id="rId7" Type="http://schemas.openxmlformats.org/officeDocument/2006/relationships/hyperlink" Target="https://www.gnu.ac.kr/info/cm/cntnts/cntntsView.do?mi=8444&amp;cntntsId=4442" TargetMode="External"/><Relationship Id="rId12" Type="http://schemas.openxmlformats.org/officeDocument/2006/relationships/hyperlink" Target="https://www.kongju.ac.kr/KNU/16898/subview.do" TargetMode="External"/><Relationship Id="rId17" Type="http://schemas.openxmlformats.org/officeDocument/2006/relationships/hyperlink" Target="https://www.daegu.ac.kr/page/153" TargetMode="External"/><Relationship Id="rId25" Type="http://schemas.openxmlformats.org/officeDocument/2006/relationships/hyperlink" Target="https://www.ewha.ac.kr/ewha/life/eduroam.do" TargetMode="External"/><Relationship Id="rId2" Type="http://schemas.openxmlformats.org/officeDocument/2006/relationships/hyperlink" Target="https://www.gachon.ac.kr/ist/2990/subview.do" TargetMode="External"/><Relationship Id="rId16" Type="http://schemas.openxmlformats.org/officeDocument/2006/relationships/hyperlink" Target="https://www.dnue.ac.kr/kor/CMS/Board/Board.do?mCode=MN168&amp;mode=view&amp;board_seq=14025" TargetMode="External"/><Relationship Id="rId20" Type="http://schemas.openxmlformats.org/officeDocument/2006/relationships/hyperlink" Target="https://www.mokpo.ac.kr/www/291/subview.do" TargetMode="External"/><Relationship Id="rId29" Type="http://schemas.openxmlformats.org/officeDocument/2006/relationships/hyperlink" Target="https://www.cje.ac.kr/cj_edu_univ/web/content.do?menu_cd=000157" TargetMode="External"/><Relationship Id="rId1" Type="http://schemas.openxmlformats.org/officeDocument/2006/relationships/hyperlink" Target="https://www.kdischool.ac.kr/" TargetMode="External"/><Relationship Id="rId6" Type="http://schemas.openxmlformats.org/officeDocument/2006/relationships/hyperlink" Target="https://wifi.knu.ac.kr/" TargetMode="External"/><Relationship Id="rId11" Type="http://schemas.openxmlformats.org/officeDocument/2006/relationships/hyperlink" Target="https://www.ghu.ac.kr/LifeGhc/InfoMail.jsp" TargetMode="External"/><Relationship Id="rId24" Type="http://schemas.openxmlformats.org/officeDocument/2006/relationships/hyperlink" Target="https://wu.ac.kr/wu/9385/subview.do?enc=Zm5jdDF8QEB8JTJGYmJzJTJGd3UlMkYzOCUyRjEwNzQyMyUyRmFydGNsVmlldy5kbyUzRnBhZ2UlM0QxJTI2c3JjaENvbHVtbiUzRCUyNnNyY2hXcmQlM0QlMjZiYnNDbFNlcSUzRCUyNmJic09wZW5XcmRTZXElM0QlMjZyZ3NCZ25kZVN0ciUzRCUyNnJnc0VuZGRlU3RyJTNEJTI2aXNWaWV3TWluZSUzRGZhbHNlJTI2cGFzc3dvcmQlM0QlMjY%3D" TargetMode="External"/><Relationship Id="rId5" Type="http://schemas.openxmlformats.org/officeDocument/2006/relationships/hyperlink" Target="https://library.kyungnam.ac.kr/webcontent/info/52" TargetMode="External"/><Relationship Id="rId15" Type="http://schemas.openxmlformats.org/officeDocument/2006/relationships/hyperlink" Target="https://cic.kumoh.ac.kr/cic/sub020202.do" TargetMode="External"/><Relationship Id="rId23" Type="http://schemas.openxmlformats.org/officeDocument/2006/relationships/hyperlink" Target="http://homep.yu.ac.kr/_korean/onestop/index.php?c=ucampus_07" TargetMode="External"/><Relationship Id="rId28" Type="http://schemas.openxmlformats.org/officeDocument/2006/relationships/hyperlink" Target="https://www.changwon.ac.kr/kor/na/ntt/selectNttInfo.do?mi=10177&amp;nttSn=782638" TargetMode="External"/><Relationship Id="rId10" Type="http://schemas.openxmlformats.org/officeDocument/2006/relationships/hyperlink" Target="http://icc.gwangju.ac.kr/icc/page/sub0401.html" TargetMode="External"/><Relationship Id="rId19" Type="http://schemas.openxmlformats.org/officeDocument/2006/relationships/hyperlink" Target="https://www.deu.ac.kr/www/deu-it-etc.do?mode=view&amp;articleNo=65693&amp;article.offset=0&amp;articleLimit=10" TargetMode="External"/><Relationship Id="rId31" Type="http://schemas.openxmlformats.org/officeDocument/2006/relationships/hyperlink" Target="https://hemos.postech.ac.kr/ServiceGuide/UserGuide?section=wifi" TargetMode="External"/><Relationship Id="rId4" Type="http://schemas.openxmlformats.org/officeDocument/2006/relationships/hyperlink" Target="https://www.konyang.ac.kr/ict/sub02_02.do" TargetMode="External"/><Relationship Id="rId9" Type="http://schemas.openxmlformats.org/officeDocument/2006/relationships/hyperlink" Target="https://www.kmcu.ac.kr/kr/index.php?pCode=wifi" TargetMode="External"/><Relationship Id="rId14" Type="http://schemas.openxmlformats.org/officeDocument/2006/relationships/hyperlink" Target="https://www.hanbat.ac.kr/kor/sub06_080105.do" TargetMode="External"/><Relationship Id="rId22" Type="http://schemas.openxmlformats.org/officeDocument/2006/relationships/hyperlink" Target="https://pc119.ajou.ac.kr/pc119/service/lan.do" TargetMode="External"/><Relationship Id="rId27" Type="http://schemas.openxmlformats.org/officeDocument/2006/relationships/hyperlink" Target="https://cms.jejunu.ac.kr/camp/stud/wifi/eduroam.htm" TargetMode="External"/><Relationship Id="rId30" Type="http://schemas.openxmlformats.org/officeDocument/2006/relationships/hyperlink" Target="https://www.cnue.ac.kr/cnue/life/wireless-la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zoomScale="85" zoomScaleNormal="85" workbookViewId="0">
      <pane ySplit="1" topLeftCell="A76" activePane="bottomLeft" state="frozen"/>
      <selection pane="bottomLeft" activeCell="E119" sqref="E119"/>
    </sheetView>
  </sheetViews>
  <sheetFormatPr defaultColWidth="8.83203125" defaultRowHeight="17" x14ac:dyDescent="0.45"/>
  <cols>
    <col min="1" max="1" width="12.33203125" style="2" bestFit="1" customWidth="1"/>
    <col min="2" max="2" width="25.33203125" style="2" bestFit="1" customWidth="1"/>
    <col min="3" max="3" width="21.6640625" style="2" bestFit="1" customWidth="1"/>
    <col min="4" max="4" width="21.33203125" style="2" bestFit="1" customWidth="1"/>
    <col min="5" max="5" width="80" style="2" bestFit="1" customWidth="1"/>
    <col min="6" max="6" width="22.75" customWidth="1"/>
    <col min="7" max="7" width="15.33203125" customWidth="1"/>
  </cols>
  <sheetData>
    <row r="1" spans="1:7" ht="17.5" customHeight="1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5" customHeight="1" thickBot="1" x14ac:dyDescent="0.5">
      <c r="A2" t="s">
        <v>7</v>
      </c>
      <c r="B2" t="s">
        <v>8</v>
      </c>
      <c r="C2" t="s">
        <v>9</v>
      </c>
      <c r="D2" t="s">
        <v>10</v>
      </c>
      <c r="E2" s="4" t="s">
        <v>11</v>
      </c>
      <c r="F2" t="s">
        <v>12</v>
      </c>
      <c r="G2" t="s">
        <v>13</v>
      </c>
    </row>
    <row r="3" spans="1:7" x14ac:dyDescent="0.45">
      <c r="A3" t="s">
        <v>14</v>
      </c>
      <c r="B3" t="s">
        <v>15</v>
      </c>
      <c r="C3" t="s">
        <v>16</v>
      </c>
      <c r="D3" t="s">
        <v>17</v>
      </c>
      <c r="E3" s="3" t="s">
        <v>18</v>
      </c>
      <c r="F3" t="s">
        <v>19</v>
      </c>
      <c r="G3" t="s">
        <v>13</v>
      </c>
    </row>
    <row r="4" spans="1:7" x14ac:dyDescent="0.45">
      <c r="A4" t="s">
        <v>20</v>
      </c>
      <c r="B4" t="s">
        <v>21</v>
      </c>
      <c r="C4" t="s">
        <v>22</v>
      </c>
      <c r="D4" t="s">
        <v>23</v>
      </c>
      <c r="E4" s="3"/>
      <c r="F4" t="s">
        <v>24</v>
      </c>
      <c r="G4" t="s">
        <v>13</v>
      </c>
    </row>
    <row r="5" spans="1:7" x14ac:dyDescent="0.45">
      <c r="A5" t="s">
        <v>20</v>
      </c>
      <c r="B5" t="s">
        <v>25</v>
      </c>
      <c r="C5" t="s">
        <v>26</v>
      </c>
      <c r="D5" t="s">
        <v>27</v>
      </c>
      <c r="E5" s="3"/>
      <c r="F5" t="s">
        <v>28</v>
      </c>
      <c r="G5" t="s">
        <v>13</v>
      </c>
    </row>
    <row r="6" spans="1:7" x14ac:dyDescent="0.45">
      <c r="A6" t="s">
        <v>14</v>
      </c>
      <c r="B6" t="s">
        <v>29</v>
      </c>
      <c r="C6" t="s">
        <v>30</v>
      </c>
      <c r="D6" t="s">
        <v>31</v>
      </c>
      <c r="E6" s="3" t="s">
        <v>32</v>
      </c>
      <c r="F6" t="s">
        <v>33</v>
      </c>
      <c r="G6" t="s">
        <v>13</v>
      </c>
    </row>
    <row r="7" spans="1:7" x14ac:dyDescent="0.45">
      <c r="A7" t="s">
        <v>14</v>
      </c>
      <c r="B7" t="s">
        <v>34</v>
      </c>
      <c r="C7" t="s">
        <v>35</v>
      </c>
      <c r="D7" t="s">
        <v>36</v>
      </c>
      <c r="E7" s="3" t="s">
        <v>37</v>
      </c>
      <c r="F7" t="s">
        <v>38</v>
      </c>
      <c r="G7" t="s">
        <v>13</v>
      </c>
    </row>
    <row r="8" spans="1:7" x14ac:dyDescent="0.45">
      <c r="A8" t="s">
        <v>14</v>
      </c>
      <c r="B8" t="s">
        <v>39</v>
      </c>
      <c r="C8" t="s">
        <v>40</v>
      </c>
      <c r="D8" t="s">
        <v>41</v>
      </c>
      <c r="E8" s="3" t="s">
        <v>42</v>
      </c>
      <c r="F8" t="s">
        <v>43</v>
      </c>
      <c r="G8" t="s">
        <v>13</v>
      </c>
    </row>
    <row r="9" spans="1:7" x14ac:dyDescent="0.45">
      <c r="A9" t="s">
        <v>20</v>
      </c>
      <c r="B9" t="s">
        <v>44</v>
      </c>
      <c r="C9" t="s">
        <v>45</v>
      </c>
      <c r="D9" t="s">
        <v>46</v>
      </c>
      <c r="E9" s="3" t="s">
        <v>47</v>
      </c>
      <c r="F9" t="s">
        <v>48</v>
      </c>
      <c r="G9" t="s">
        <v>13</v>
      </c>
    </row>
    <row r="10" spans="1:7" x14ac:dyDescent="0.45">
      <c r="A10" t="s">
        <v>20</v>
      </c>
      <c r="B10" t="s">
        <v>49</v>
      </c>
      <c r="C10" t="s">
        <v>50</v>
      </c>
      <c r="D10" t="s">
        <v>51</v>
      </c>
      <c r="E10" s="3" t="s">
        <v>52</v>
      </c>
      <c r="F10" t="s">
        <v>53</v>
      </c>
      <c r="G10" t="s">
        <v>13</v>
      </c>
    </row>
    <row r="11" spans="1:7" x14ac:dyDescent="0.45">
      <c r="A11" t="s">
        <v>20</v>
      </c>
      <c r="B11" t="s">
        <v>54</v>
      </c>
      <c r="C11" t="s">
        <v>55</v>
      </c>
      <c r="D11" t="s">
        <v>56</v>
      </c>
      <c r="E11" s="3" t="s">
        <v>57</v>
      </c>
      <c r="F11" t="s">
        <v>58</v>
      </c>
      <c r="G11" t="s">
        <v>13</v>
      </c>
    </row>
    <row r="12" spans="1:7" x14ac:dyDescent="0.45">
      <c r="A12" t="s">
        <v>14</v>
      </c>
      <c r="B12" t="s">
        <v>54</v>
      </c>
      <c r="C12" t="s">
        <v>59</v>
      </c>
      <c r="D12" t="s">
        <v>60</v>
      </c>
      <c r="F12" t="s">
        <v>61</v>
      </c>
      <c r="G12" t="s">
        <v>13</v>
      </c>
    </row>
    <row r="13" spans="1:7" x14ac:dyDescent="0.45">
      <c r="A13" t="s">
        <v>14</v>
      </c>
      <c r="B13" t="s">
        <v>62</v>
      </c>
      <c r="C13" t="s">
        <v>63</v>
      </c>
      <c r="D13" t="s">
        <v>64</v>
      </c>
      <c r="E13" s="5"/>
      <c r="F13" t="s">
        <v>65</v>
      </c>
      <c r="G13" t="s">
        <v>13</v>
      </c>
    </row>
    <row r="14" spans="1:7" x14ac:dyDescent="0.45">
      <c r="A14" t="s">
        <v>14</v>
      </c>
      <c r="B14" t="s">
        <v>66</v>
      </c>
      <c r="C14" t="s">
        <v>67</v>
      </c>
      <c r="D14" t="s">
        <v>68</v>
      </c>
      <c r="E14" s="5"/>
      <c r="F14" t="s">
        <v>69</v>
      </c>
      <c r="G14" t="s">
        <v>13</v>
      </c>
    </row>
    <row r="15" spans="1:7" x14ac:dyDescent="0.45">
      <c r="A15" t="s">
        <v>14</v>
      </c>
      <c r="B15" t="s">
        <v>70</v>
      </c>
      <c r="C15" t="s">
        <v>71</v>
      </c>
      <c r="D15" t="s">
        <v>72</v>
      </c>
      <c r="E15" s="3" t="s">
        <v>73</v>
      </c>
      <c r="F15" t="s">
        <v>74</v>
      </c>
      <c r="G15" t="s">
        <v>13</v>
      </c>
    </row>
    <row r="16" spans="1:7" x14ac:dyDescent="0.45">
      <c r="A16" t="s">
        <v>14</v>
      </c>
      <c r="B16" t="s">
        <v>75</v>
      </c>
      <c r="C16" t="s">
        <v>76</v>
      </c>
      <c r="D16" t="s">
        <v>77</v>
      </c>
      <c r="E16" s="5" t="s">
        <v>78</v>
      </c>
      <c r="F16" t="s">
        <v>79</v>
      </c>
      <c r="G16" t="s">
        <v>13</v>
      </c>
    </row>
    <row r="17" spans="1:7" x14ac:dyDescent="0.45">
      <c r="A17" t="s">
        <v>20</v>
      </c>
      <c r="B17" t="s">
        <v>80</v>
      </c>
      <c r="C17" t="s">
        <v>81</v>
      </c>
      <c r="D17" t="s">
        <v>82</v>
      </c>
      <c r="E17" s="5" t="s">
        <v>83</v>
      </c>
      <c r="F17" t="s">
        <v>84</v>
      </c>
      <c r="G17" t="s">
        <v>13</v>
      </c>
    </row>
    <row r="18" spans="1:7" x14ac:dyDescent="0.45">
      <c r="A18" t="s">
        <v>7</v>
      </c>
      <c r="B18" t="s">
        <v>85</v>
      </c>
      <c r="C18" t="s">
        <v>86</v>
      </c>
      <c r="D18" t="s">
        <v>87</v>
      </c>
      <c r="F18" t="s">
        <v>88</v>
      </c>
      <c r="G18" t="s">
        <v>13</v>
      </c>
    </row>
    <row r="19" spans="1:7" x14ac:dyDescent="0.45">
      <c r="A19" t="s">
        <v>20</v>
      </c>
      <c r="B19" t="s">
        <v>89</v>
      </c>
      <c r="C19" t="s">
        <v>90</v>
      </c>
      <c r="D19" t="s">
        <v>91</v>
      </c>
      <c r="E19" s="5"/>
      <c r="F19" t="s">
        <v>92</v>
      </c>
      <c r="G19" t="s">
        <v>13</v>
      </c>
    </row>
    <row r="20" spans="1:7" ht="17.5" customHeight="1" thickBot="1" x14ac:dyDescent="0.5">
      <c r="A20" t="s">
        <v>14</v>
      </c>
      <c r="B20" t="s">
        <v>93</v>
      </c>
      <c r="C20" t="s">
        <v>94</v>
      </c>
      <c r="D20" t="s">
        <v>95</v>
      </c>
      <c r="E20" s="3" t="s">
        <v>96</v>
      </c>
      <c r="F20" t="s">
        <v>97</v>
      </c>
      <c r="G20" t="s">
        <v>13</v>
      </c>
    </row>
    <row r="21" spans="1:7" ht="17.5" customHeight="1" thickBot="1" x14ac:dyDescent="0.5">
      <c r="A21" t="s">
        <v>14</v>
      </c>
      <c r="B21" t="s">
        <v>98</v>
      </c>
      <c r="C21" t="s">
        <v>99</v>
      </c>
      <c r="D21" t="s">
        <v>100</v>
      </c>
      <c r="E21" s="4" t="s">
        <v>101</v>
      </c>
      <c r="F21" t="s">
        <v>102</v>
      </c>
      <c r="G21" t="s">
        <v>13</v>
      </c>
    </row>
    <row r="22" spans="1:7" x14ac:dyDescent="0.45">
      <c r="A22" t="s">
        <v>14</v>
      </c>
      <c r="B22" t="s">
        <v>103</v>
      </c>
      <c r="C22" t="s">
        <v>104</v>
      </c>
      <c r="D22" t="s">
        <v>105</v>
      </c>
      <c r="F22" t="s">
        <v>106</v>
      </c>
      <c r="G22" t="s">
        <v>13</v>
      </c>
    </row>
    <row r="23" spans="1:7" x14ac:dyDescent="0.45">
      <c r="A23" t="s">
        <v>20</v>
      </c>
      <c r="B23" t="s">
        <v>107</v>
      </c>
      <c r="C23" t="s">
        <v>108</v>
      </c>
      <c r="D23" t="s">
        <v>109</v>
      </c>
      <c r="E23" s="3" t="s">
        <v>110</v>
      </c>
      <c r="F23" t="s">
        <v>111</v>
      </c>
      <c r="G23" t="s">
        <v>13</v>
      </c>
    </row>
    <row r="24" spans="1:7" x14ac:dyDescent="0.45">
      <c r="A24" t="s">
        <v>20</v>
      </c>
      <c r="B24" t="s">
        <v>112</v>
      </c>
      <c r="C24" t="s">
        <v>113</v>
      </c>
      <c r="D24" t="s">
        <v>114</v>
      </c>
      <c r="E24" s="3" t="s">
        <v>115</v>
      </c>
      <c r="F24" t="s">
        <v>116</v>
      </c>
      <c r="G24" t="s">
        <v>13</v>
      </c>
    </row>
    <row r="25" spans="1:7" x14ac:dyDescent="0.45">
      <c r="A25" t="s">
        <v>20</v>
      </c>
      <c r="B25" t="s">
        <v>117</v>
      </c>
      <c r="C25" t="s">
        <v>118</v>
      </c>
      <c r="D25" t="s">
        <v>119</v>
      </c>
      <c r="E25" s="3" t="s">
        <v>120</v>
      </c>
      <c r="F25" t="s">
        <v>121</v>
      </c>
      <c r="G25" t="s">
        <v>13</v>
      </c>
    </row>
    <row r="26" spans="1:7" x14ac:dyDescent="0.45">
      <c r="A26" t="s">
        <v>14</v>
      </c>
      <c r="B26" t="s">
        <v>122</v>
      </c>
      <c r="C26" t="s">
        <v>123</v>
      </c>
      <c r="D26" t="s">
        <v>124</v>
      </c>
      <c r="E26" s="5" t="s">
        <v>125</v>
      </c>
      <c r="F26" t="s">
        <v>126</v>
      </c>
      <c r="G26" t="s">
        <v>13</v>
      </c>
    </row>
    <row r="27" spans="1:7" x14ac:dyDescent="0.45">
      <c r="A27" t="s">
        <v>20</v>
      </c>
      <c r="B27" t="s">
        <v>127</v>
      </c>
      <c r="C27" t="s">
        <v>128</v>
      </c>
      <c r="D27" t="s">
        <v>129</v>
      </c>
      <c r="E27" s="5" t="s">
        <v>130</v>
      </c>
      <c r="F27" t="s">
        <v>131</v>
      </c>
      <c r="G27" t="s">
        <v>13</v>
      </c>
    </row>
    <row r="28" spans="1:7" x14ac:dyDescent="0.45">
      <c r="A28" t="s">
        <v>20</v>
      </c>
      <c r="B28" t="s">
        <v>132</v>
      </c>
      <c r="C28" t="s">
        <v>133</v>
      </c>
      <c r="D28" t="s">
        <v>134</v>
      </c>
      <c r="E28" s="3" t="s">
        <v>135</v>
      </c>
      <c r="F28" t="s">
        <v>136</v>
      </c>
      <c r="G28" t="s">
        <v>13</v>
      </c>
    </row>
    <row r="29" spans="1:7" x14ac:dyDescent="0.45">
      <c r="A29" t="s">
        <v>14</v>
      </c>
      <c r="B29" t="s">
        <v>137</v>
      </c>
      <c r="C29" t="s">
        <v>138</v>
      </c>
      <c r="D29" t="s">
        <v>139</v>
      </c>
      <c r="E29" s="5" t="s">
        <v>140</v>
      </c>
      <c r="F29" t="s">
        <v>141</v>
      </c>
      <c r="G29" t="s">
        <v>13</v>
      </c>
    </row>
    <row r="30" spans="1:7" x14ac:dyDescent="0.45">
      <c r="A30" t="s">
        <v>14</v>
      </c>
      <c r="B30" t="s">
        <v>142</v>
      </c>
      <c r="C30" t="s">
        <v>143</v>
      </c>
      <c r="D30" t="s">
        <v>144</v>
      </c>
      <c r="E30" s="5" t="s">
        <v>145</v>
      </c>
      <c r="F30" t="s">
        <v>146</v>
      </c>
      <c r="G30" t="s">
        <v>13</v>
      </c>
    </row>
    <row r="31" spans="1:7" x14ac:dyDescent="0.45">
      <c r="A31" t="s">
        <v>14</v>
      </c>
      <c r="B31" t="s">
        <v>147</v>
      </c>
      <c r="C31" t="s">
        <v>148</v>
      </c>
      <c r="D31" t="s">
        <v>149</v>
      </c>
      <c r="E31" s="5" t="s">
        <v>150</v>
      </c>
      <c r="F31" t="s">
        <v>151</v>
      </c>
      <c r="G31" t="s">
        <v>13</v>
      </c>
    </row>
    <row r="32" spans="1:7" x14ac:dyDescent="0.45">
      <c r="A32" t="s">
        <v>14</v>
      </c>
      <c r="B32" t="s">
        <v>152</v>
      </c>
      <c r="C32" t="s">
        <v>153</v>
      </c>
      <c r="D32" t="s">
        <v>154</v>
      </c>
      <c r="F32" t="s">
        <v>155</v>
      </c>
      <c r="G32" t="s">
        <v>13</v>
      </c>
    </row>
    <row r="33" spans="1:7" ht="17.5" customHeight="1" thickBot="1" x14ac:dyDescent="0.5">
      <c r="A33" t="s">
        <v>156</v>
      </c>
      <c r="B33" t="s">
        <v>157</v>
      </c>
      <c r="C33" t="s">
        <v>158</v>
      </c>
      <c r="D33" t="s">
        <v>159</v>
      </c>
      <c r="E33" s="5"/>
      <c r="F33" t="s">
        <v>160</v>
      </c>
      <c r="G33" t="s">
        <v>13</v>
      </c>
    </row>
    <row r="34" spans="1:7" ht="17.5" customHeight="1" thickBot="1" x14ac:dyDescent="0.5">
      <c r="A34" t="s">
        <v>20</v>
      </c>
      <c r="B34" t="s">
        <v>161</v>
      </c>
      <c r="C34" t="s">
        <v>162</v>
      </c>
      <c r="D34" t="s">
        <v>163</v>
      </c>
      <c r="E34" s="4" t="s">
        <v>164</v>
      </c>
      <c r="F34" t="s">
        <v>165</v>
      </c>
      <c r="G34" t="s">
        <v>13</v>
      </c>
    </row>
    <row r="35" spans="1:7" x14ac:dyDescent="0.45">
      <c r="A35" t="s">
        <v>14</v>
      </c>
      <c r="B35" t="s">
        <v>166</v>
      </c>
      <c r="C35" t="s">
        <v>167</v>
      </c>
      <c r="D35" t="s">
        <v>168</v>
      </c>
      <c r="E35" s="3" t="s">
        <v>169</v>
      </c>
      <c r="F35" t="s">
        <v>170</v>
      </c>
      <c r="G35" t="s">
        <v>13</v>
      </c>
    </row>
    <row r="36" spans="1:7" x14ac:dyDescent="0.45">
      <c r="A36" t="s">
        <v>14</v>
      </c>
      <c r="B36" t="s">
        <v>171</v>
      </c>
      <c r="C36" t="s">
        <v>172</v>
      </c>
      <c r="D36" t="s">
        <v>173</v>
      </c>
      <c r="E36" s="5" t="s">
        <v>174</v>
      </c>
      <c r="F36" t="s">
        <v>175</v>
      </c>
      <c r="G36" t="s">
        <v>13</v>
      </c>
    </row>
    <row r="37" spans="1:7" ht="17.5" customHeight="1" thickBot="1" x14ac:dyDescent="0.5">
      <c r="A37" t="s">
        <v>14</v>
      </c>
      <c r="B37" t="s">
        <v>176</v>
      </c>
      <c r="C37" t="s">
        <v>177</v>
      </c>
      <c r="D37" t="s">
        <v>178</v>
      </c>
      <c r="E37" s="5"/>
      <c r="F37" t="s">
        <v>179</v>
      </c>
      <c r="G37" t="s">
        <v>13</v>
      </c>
    </row>
    <row r="38" spans="1:7" ht="17.5" customHeight="1" thickBot="1" x14ac:dyDescent="0.5">
      <c r="A38" t="s">
        <v>14</v>
      </c>
      <c r="B38" t="s">
        <v>180</v>
      </c>
      <c r="C38" t="s">
        <v>181</v>
      </c>
      <c r="D38" t="s">
        <v>182</v>
      </c>
      <c r="E38" s="4" t="s">
        <v>183</v>
      </c>
      <c r="F38" t="s">
        <v>184</v>
      </c>
      <c r="G38" t="s">
        <v>13</v>
      </c>
    </row>
    <row r="39" spans="1:7" x14ac:dyDescent="0.45">
      <c r="A39" t="s">
        <v>14</v>
      </c>
      <c r="B39" t="s">
        <v>185</v>
      </c>
      <c r="C39" t="s">
        <v>186</v>
      </c>
      <c r="D39" t="s">
        <v>187</v>
      </c>
      <c r="E39" s="5"/>
      <c r="F39" t="s">
        <v>188</v>
      </c>
      <c r="G39" t="s">
        <v>13</v>
      </c>
    </row>
    <row r="40" spans="1:7" x14ac:dyDescent="0.45">
      <c r="A40" t="s">
        <v>14</v>
      </c>
      <c r="B40" t="s">
        <v>189</v>
      </c>
      <c r="C40" t="s">
        <v>190</v>
      </c>
      <c r="D40" t="s">
        <v>191</v>
      </c>
      <c r="E40" s="5"/>
      <c r="F40" t="s">
        <v>192</v>
      </c>
      <c r="G40" t="s">
        <v>13</v>
      </c>
    </row>
    <row r="41" spans="1:7" x14ac:dyDescent="0.45">
      <c r="A41" t="s">
        <v>14</v>
      </c>
      <c r="B41" t="s">
        <v>193</v>
      </c>
      <c r="C41" t="s">
        <v>194</v>
      </c>
      <c r="D41" t="s">
        <v>195</v>
      </c>
      <c r="E41" s="3" t="s">
        <v>196</v>
      </c>
      <c r="F41" t="s">
        <v>197</v>
      </c>
      <c r="G41" t="s">
        <v>13</v>
      </c>
    </row>
    <row r="42" spans="1:7" x14ac:dyDescent="0.45">
      <c r="A42" t="s">
        <v>20</v>
      </c>
      <c r="B42" t="s">
        <v>198</v>
      </c>
      <c r="C42" t="s">
        <v>199</v>
      </c>
      <c r="D42" t="s">
        <v>200</v>
      </c>
      <c r="E42" s="3" t="s">
        <v>201</v>
      </c>
      <c r="F42" t="s">
        <v>202</v>
      </c>
      <c r="G42" t="s">
        <v>13</v>
      </c>
    </row>
    <row r="43" spans="1:7" x14ac:dyDescent="0.45">
      <c r="A43" t="s">
        <v>20</v>
      </c>
      <c r="B43" t="s">
        <v>203</v>
      </c>
      <c r="C43" t="s">
        <v>204</v>
      </c>
      <c r="D43" t="s">
        <v>205</v>
      </c>
      <c r="E43" s="5" t="s">
        <v>206</v>
      </c>
      <c r="F43" t="s">
        <v>207</v>
      </c>
      <c r="G43" t="s">
        <v>13</v>
      </c>
    </row>
    <row r="44" spans="1:7" x14ac:dyDescent="0.45">
      <c r="A44" t="s">
        <v>14</v>
      </c>
      <c r="B44" t="s">
        <v>208</v>
      </c>
      <c r="C44" t="s">
        <v>209</v>
      </c>
      <c r="D44" t="s">
        <v>210</v>
      </c>
      <c r="E44" s="5" t="s">
        <v>211</v>
      </c>
      <c r="F44" t="s">
        <v>212</v>
      </c>
      <c r="G44" t="s">
        <v>13</v>
      </c>
    </row>
    <row r="45" spans="1:7" x14ac:dyDescent="0.45">
      <c r="A45" t="s">
        <v>20</v>
      </c>
      <c r="B45" t="s">
        <v>213</v>
      </c>
      <c r="C45" t="s">
        <v>214</v>
      </c>
      <c r="D45" t="s">
        <v>215</v>
      </c>
      <c r="E45" s="5" t="s">
        <v>216</v>
      </c>
      <c r="F45" t="s">
        <v>217</v>
      </c>
      <c r="G45" t="s">
        <v>13</v>
      </c>
    </row>
    <row r="46" spans="1:7" x14ac:dyDescent="0.45">
      <c r="A46" t="s">
        <v>20</v>
      </c>
      <c r="B46" t="s">
        <v>218</v>
      </c>
      <c r="C46" t="s">
        <v>219</v>
      </c>
      <c r="D46" t="s">
        <v>220</v>
      </c>
      <c r="E46" s="5"/>
      <c r="F46" t="s">
        <v>221</v>
      </c>
      <c r="G46" t="s">
        <v>13</v>
      </c>
    </row>
    <row r="47" spans="1:7" x14ac:dyDescent="0.45">
      <c r="A47" t="s">
        <v>20</v>
      </c>
      <c r="B47" t="s">
        <v>222</v>
      </c>
      <c r="C47" t="s">
        <v>223</v>
      </c>
      <c r="D47" t="s">
        <v>224</v>
      </c>
      <c r="E47" s="5"/>
      <c r="F47" t="s">
        <v>225</v>
      </c>
      <c r="G47" t="s">
        <v>13</v>
      </c>
    </row>
    <row r="48" spans="1:7" x14ac:dyDescent="0.45">
      <c r="A48" t="s">
        <v>14</v>
      </c>
      <c r="B48" t="s">
        <v>226</v>
      </c>
      <c r="C48" t="s">
        <v>227</v>
      </c>
      <c r="D48" t="s">
        <v>228</v>
      </c>
      <c r="E48" s="5" t="s">
        <v>229</v>
      </c>
      <c r="F48" t="s">
        <v>230</v>
      </c>
      <c r="G48" t="s">
        <v>13</v>
      </c>
    </row>
    <row r="49" spans="1:7" x14ac:dyDescent="0.45">
      <c r="A49" t="s">
        <v>14</v>
      </c>
      <c r="B49" t="s">
        <v>231</v>
      </c>
      <c r="C49" t="s">
        <v>232</v>
      </c>
      <c r="D49" t="s">
        <v>233</v>
      </c>
      <c r="E49" s="5" t="s">
        <v>234</v>
      </c>
      <c r="F49" t="s">
        <v>235</v>
      </c>
      <c r="G49" t="s">
        <v>13</v>
      </c>
    </row>
    <row r="50" spans="1:7" x14ac:dyDescent="0.45">
      <c r="A50" t="s">
        <v>20</v>
      </c>
      <c r="B50" t="s">
        <v>236</v>
      </c>
      <c r="C50" t="s">
        <v>237</v>
      </c>
      <c r="D50" t="s">
        <v>238</v>
      </c>
      <c r="E50" s="5" t="s">
        <v>239</v>
      </c>
      <c r="F50" t="s">
        <v>240</v>
      </c>
      <c r="G50" t="s">
        <v>13</v>
      </c>
    </row>
    <row r="51" spans="1:7" x14ac:dyDescent="0.45">
      <c r="A51" t="s">
        <v>241</v>
      </c>
      <c r="B51" t="s">
        <v>242</v>
      </c>
      <c r="C51" t="s">
        <v>243</v>
      </c>
      <c r="D51" t="s">
        <v>244</v>
      </c>
      <c r="E51" s="5" t="s">
        <v>245</v>
      </c>
      <c r="F51" t="s">
        <v>246</v>
      </c>
      <c r="G51" t="s">
        <v>13</v>
      </c>
    </row>
    <row r="52" spans="1:7" x14ac:dyDescent="0.45">
      <c r="A52" t="s">
        <v>247</v>
      </c>
      <c r="B52" t="s">
        <v>248</v>
      </c>
      <c r="C52" t="s">
        <v>249</v>
      </c>
      <c r="D52" t="s">
        <v>250</v>
      </c>
      <c r="E52" s="3" t="s">
        <v>251</v>
      </c>
      <c r="F52" t="s">
        <v>252</v>
      </c>
      <c r="G52" t="s">
        <v>13</v>
      </c>
    </row>
    <row r="53" spans="1:7" x14ac:dyDescent="0.45">
      <c r="A53" t="s">
        <v>14</v>
      </c>
      <c r="B53" t="s">
        <v>253</v>
      </c>
      <c r="C53" t="s">
        <v>254</v>
      </c>
      <c r="D53" t="s">
        <v>255</v>
      </c>
      <c r="E53" s="5"/>
      <c r="F53" t="s">
        <v>256</v>
      </c>
      <c r="G53" t="s">
        <v>13</v>
      </c>
    </row>
    <row r="54" spans="1:7" x14ac:dyDescent="0.45">
      <c r="A54" t="s">
        <v>14</v>
      </c>
      <c r="B54" t="s">
        <v>257</v>
      </c>
      <c r="C54" t="s">
        <v>258</v>
      </c>
      <c r="D54" t="s">
        <v>259</v>
      </c>
      <c r="F54" t="s">
        <v>260</v>
      </c>
      <c r="G54" t="s">
        <v>13</v>
      </c>
    </row>
    <row r="55" spans="1:7" x14ac:dyDescent="0.45">
      <c r="A55" t="s">
        <v>14</v>
      </c>
      <c r="B55" t="s">
        <v>261</v>
      </c>
      <c r="C55" t="s">
        <v>262</v>
      </c>
      <c r="D55" t="s">
        <v>263</v>
      </c>
      <c r="E55" s="5"/>
      <c r="F55" t="s">
        <v>264</v>
      </c>
      <c r="G55" t="s">
        <v>13</v>
      </c>
    </row>
    <row r="56" spans="1:7" x14ac:dyDescent="0.45">
      <c r="A56" t="s">
        <v>14</v>
      </c>
      <c r="B56" t="s">
        <v>265</v>
      </c>
      <c r="C56" t="s">
        <v>266</v>
      </c>
      <c r="D56" t="s">
        <v>267</v>
      </c>
      <c r="E56" s="5" t="s">
        <v>268</v>
      </c>
      <c r="F56" t="s">
        <v>269</v>
      </c>
      <c r="G56" t="s">
        <v>13</v>
      </c>
    </row>
    <row r="57" spans="1:7" x14ac:dyDescent="0.45">
      <c r="A57" t="s">
        <v>14</v>
      </c>
      <c r="B57" t="s">
        <v>270</v>
      </c>
      <c r="C57" t="s">
        <v>271</v>
      </c>
      <c r="D57" t="s">
        <v>272</v>
      </c>
      <c r="E57" s="5"/>
      <c r="F57" t="s">
        <v>273</v>
      </c>
      <c r="G57" t="s">
        <v>13</v>
      </c>
    </row>
    <row r="58" spans="1:7" x14ac:dyDescent="0.45">
      <c r="A58" t="s">
        <v>14</v>
      </c>
      <c r="B58" t="s">
        <v>274</v>
      </c>
      <c r="C58" t="s">
        <v>275</v>
      </c>
      <c r="D58" t="s">
        <v>276</v>
      </c>
      <c r="E58" s="5"/>
      <c r="F58" t="s">
        <v>277</v>
      </c>
      <c r="G58" t="s">
        <v>13</v>
      </c>
    </row>
    <row r="59" spans="1:7" x14ac:dyDescent="0.45">
      <c r="A59" t="s">
        <v>14</v>
      </c>
      <c r="B59" t="s">
        <v>278</v>
      </c>
      <c r="C59" t="s">
        <v>279</v>
      </c>
      <c r="D59" t="s">
        <v>280</v>
      </c>
      <c r="F59" t="s">
        <v>281</v>
      </c>
      <c r="G59" t="s">
        <v>13</v>
      </c>
    </row>
    <row r="60" spans="1:7" x14ac:dyDescent="0.45">
      <c r="A60" t="s">
        <v>14</v>
      </c>
      <c r="B60" t="s">
        <v>282</v>
      </c>
      <c r="C60" t="s">
        <v>283</v>
      </c>
      <c r="D60" t="s">
        <v>284</v>
      </c>
      <c r="E60" s="5" t="s">
        <v>285</v>
      </c>
      <c r="F60" t="s">
        <v>286</v>
      </c>
      <c r="G60" t="s">
        <v>13</v>
      </c>
    </row>
    <row r="61" spans="1:7" x14ac:dyDescent="0.45">
      <c r="A61" t="s">
        <v>14</v>
      </c>
      <c r="B61" t="s">
        <v>287</v>
      </c>
      <c r="C61" t="s">
        <v>288</v>
      </c>
      <c r="D61" t="s">
        <v>289</v>
      </c>
      <c r="E61" s="5"/>
      <c r="F61" t="s">
        <v>290</v>
      </c>
      <c r="G61" t="s">
        <v>13</v>
      </c>
    </row>
    <row r="62" spans="1:7" x14ac:dyDescent="0.45">
      <c r="A62" t="s">
        <v>20</v>
      </c>
      <c r="B62" t="s">
        <v>291</v>
      </c>
      <c r="C62" t="s">
        <v>292</v>
      </c>
      <c r="D62" t="s">
        <v>293</v>
      </c>
      <c r="E62" s="5" t="s">
        <v>294</v>
      </c>
      <c r="F62" t="s">
        <v>295</v>
      </c>
      <c r="G62" t="s">
        <v>13</v>
      </c>
    </row>
    <row r="63" spans="1:7" x14ac:dyDescent="0.45">
      <c r="A63" t="s">
        <v>14</v>
      </c>
      <c r="B63" t="s">
        <v>296</v>
      </c>
      <c r="C63" t="s">
        <v>297</v>
      </c>
      <c r="D63" t="s">
        <v>298</v>
      </c>
      <c r="E63" s="5" t="s">
        <v>299</v>
      </c>
      <c r="F63" t="s">
        <v>300</v>
      </c>
      <c r="G63" t="s">
        <v>13</v>
      </c>
    </row>
    <row r="64" spans="1:7" x14ac:dyDescent="0.45">
      <c r="A64" t="s">
        <v>14</v>
      </c>
      <c r="B64" t="s">
        <v>301</v>
      </c>
      <c r="C64" t="s">
        <v>302</v>
      </c>
      <c r="D64" t="s">
        <v>303</v>
      </c>
      <c r="E64" s="5" t="s">
        <v>304</v>
      </c>
      <c r="F64" t="s">
        <v>305</v>
      </c>
      <c r="G64" t="s">
        <v>13</v>
      </c>
    </row>
    <row r="65" spans="1:7" x14ac:dyDescent="0.45">
      <c r="A65" t="s">
        <v>14</v>
      </c>
      <c r="B65" t="s">
        <v>306</v>
      </c>
      <c r="C65" t="s">
        <v>307</v>
      </c>
      <c r="D65" t="s">
        <v>308</v>
      </c>
      <c r="E65" s="3" t="s">
        <v>309</v>
      </c>
      <c r="F65" t="s">
        <v>310</v>
      </c>
      <c r="G65" t="s">
        <v>13</v>
      </c>
    </row>
    <row r="66" spans="1:7" x14ac:dyDescent="0.45">
      <c r="A66" t="s">
        <v>14</v>
      </c>
      <c r="B66" t="s">
        <v>311</v>
      </c>
      <c r="C66" t="s">
        <v>312</v>
      </c>
      <c r="D66" t="s">
        <v>313</v>
      </c>
      <c r="E66" s="5" t="s">
        <v>314</v>
      </c>
      <c r="F66" t="s">
        <v>315</v>
      </c>
      <c r="G66" t="s">
        <v>13</v>
      </c>
    </row>
    <row r="67" spans="1:7" x14ac:dyDescent="0.45">
      <c r="A67" t="s">
        <v>14</v>
      </c>
      <c r="B67" t="s">
        <v>316</v>
      </c>
      <c r="C67" t="s">
        <v>317</v>
      </c>
      <c r="D67" t="s">
        <v>318</v>
      </c>
      <c r="E67" s="3" t="s">
        <v>319</v>
      </c>
      <c r="F67" t="s">
        <v>320</v>
      </c>
      <c r="G67" t="s">
        <v>13</v>
      </c>
    </row>
    <row r="68" spans="1:7" x14ac:dyDescent="0.45">
      <c r="A68" t="s">
        <v>14</v>
      </c>
      <c r="B68" t="s">
        <v>321</v>
      </c>
      <c r="C68" t="s">
        <v>322</v>
      </c>
      <c r="D68" t="s">
        <v>323</v>
      </c>
      <c r="F68" t="s">
        <v>324</v>
      </c>
      <c r="G68" t="s">
        <v>13</v>
      </c>
    </row>
    <row r="69" spans="1:7" x14ac:dyDescent="0.45">
      <c r="A69" t="s">
        <v>241</v>
      </c>
      <c r="B69" t="s">
        <v>325</v>
      </c>
      <c r="C69" t="s">
        <v>326</v>
      </c>
      <c r="D69" t="s">
        <v>327</v>
      </c>
      <c r="F69" t="s">
        <v>328</v>
      </c>
      <c r="G69" t="s">
        <v>13</v>
      </c>
    </row>
    <row r="70" spans="1:7" x14ac:dyDescent="0.45">
      <c r="A70" t="s">
        <v>14</v>
      </c>
      <c r="B70" t="s">
        <v>329</v>
      </c>
      <c r="C70" t="s">
        <v>330</v>
      </c>
      <c r="D70" t="s">
        <v>331</v>
      </c>
      <c r="E70" s="5"/>
      <c r="F70" t="s">
        <v>332</v>
      </c>
      <c r="G70" t="s">
        <v>13</v>
      </c>
    </row>
    <row r="71" spans="1:7" x14ac:dyDescent="0.45">
      <c r="A71" t="s">
        <v>14</v>
      </c>
      <c r="B71" t="s">
        <v>333</v>
      </c>
      <c r="C71" t="s">
        <v>334</v>
      </c>
      <c r="D71" t="s">
        <v>335</v>
      </c>
      <c r="F71" t="s">
        <v>336</v>
      </c>
      <c r="G71" t="s">
        <v>13</v>
      </c>
    </row>
    <row r="72" spans="1:7" x14ac:dyDescent="0.45">
      <c r="A72" t="s">
        <v>14</v>
      </c>
      <c r="B72" t="s">
        <v>337</v>
      </c>
      <c r="C72" t="s">
        <v>338</v>
      </c>
      <c r="D72" t="s">
        <v>339</v>
      </c>
      <c r="E72" s="3" t="s">
        <v>340</v>
      </c>
      <c r="F72" t="s">
        <v>341</v>
      </c>
      <c r="G72" t="s">
        <v>13</v>
      </c>
    </row>
    <row r="73" spans="1:7" x14ac:dyDescent="0.45">
      <c r="A73" t="s">
        <v>14</v>
      </c>
      <c r="B73" t="s">
        <v>342</v>
      </c>
      <c r="C73" t="s">
        <v>343</v>
      </c>
      <c r="D73" t="s">
        <v>344</v>
      </c>
      <c r="F73" t="s">
        <v>345</v>
      </c>
      <c r="G73" t="s">
        <v>13</v>
      </c>
    </row>
    <row r="74" spans="1:7" x14ac:dyDescent="0.45">
      <c r="A74" t="s">
        <v>14</v>
      </c>
      <c r="B74" t="s">
        <v>346</v>
      </c>
      <c r="C74" t="s">
        <v>347</v>
      </c>
      <c r="D74" t="s">
        <v>348</v>
      </c>
      <c r="E74" s="3" t="s">
        <v>349</v>
      </c>
      <c r="F74" t="s">
        <v>350</v>
      </c>
      <c r="G74" t="s">
        <v>13</v>
      </c>
    </row>
    <row r="75" spans="1:7" x14ac:dyDescent="0.45">
      <c r="A75" t="s">
        <v>14</v>
      </c>
      <c r="B75" t="s">
        <v>351</v>
      </c>
      <c r="C75" t="s">
        <v>352</v>
      </c>
      <c r="D75" t="s">
        <v>353</v>
      </c>
      <c r="E75" s="5" t="s">
        <v>354</v>
      </c>
      <c r="F75" t="s">
        <v>355</v>
      </c>
      <c r="G75" t="s">
        <v>13</v>
      </c>
    </row>
    <row r="76" spans="1:7" x14ac:dyDescent="0.45">
      <c r="A76" t="s">
        <v>247</v>
      </c>
      <c r="B76" t="s">
        <v>356</v>
      </c>
      <c r="C76" t="s">
        <v>357</v>
      </c>
      <c r="D76" t="s">
        <v>358</v>
      </c>
      <c r="E76" s="5"/>
      <c r="F76" t="s">
        <v>359</v>
      </c>
      <c r="G76" t="s">
        <v>13</v>
      </c>
    </row>
    <row r="77" spans="1:7" x14ac:dyDescent="0.45">
      <c r="A77" t="s">
        <v>14</v>
      </c>
      <c r="B77" t="s">
        <v>360</v>
      </c>
      <c r="C77" t="s">
        <v>361</v>
      </c>
      <c r="D77" t="s">
        <v>362</v>
      </c>
      <c r="E77" s="5"/>
      <c r="F77" t="s">
        <v>363</v>
      </c>
      <c r="G77" t="s">
        <v>13</v>
      </c>
    </row>
    <row r="78" spans="1:7" x14ac:dyDescent="0.45">
      <c r="A78" t="s">
        <v>14</v>
      </c>
      <c r="B78" t="s">
        <v>364</v>
      </c>
      <c r="C78" t="s">
        <v>365</v>
      </c>
      <c r="D78" t="s">
        <v>366</v>
      </c>
      <c r="E78" s="5" t="s">
        <v>367</v>
      </c>
      <c r="F78" t="s">
        <v>368</v>
      </c>
      <c r="G78" t="s">
        <v>13</v>
      </c>
    </row>
    <row r="79" spans="1:7" x14ac:dyDescent="0.45">
      <c r="A79" t="s">
        <v>20</v>
      </c>
      <c r="B79" t="s">
        <v>369</v>
      </c>
      <c r="C79" t="s">
        <v>370</v>
      </c>
      <c r="D79" t="s">
        <v>371</v>
      </c>
      <c r="E79" s="5" t="s">
        <v>372</v>
      </c>
      <c r="F79" t="s">
        <v>373</v>
      </c>
      <c r="G79" t="s">
        <v>13</v>
      </c>
    </row>
    <row r="80" spans="1:7" x14ac:dyDescent="0.45">
      <c r="A80" t="s">
        <v>20</v>
      </c>
      <c r="B80" t="s">
        <v>374</v>
      </c>
      <c r="C80" t="s">
        <v>375</v>
      </c>
      <c r="D80" t="s">
        <v>376</v>
      </c>
      <c r="E80" s="3" t="s">
        <v>377</v>
      </c>
      <c r="F80" t="s">
        <v>378</v>
      </c>
      <c r="G80" t="s">
        <v>13</v>
      </c>
    </row>
    <row r="81" spans="1:7" x14ac:dyDescent="0.45">
      <c r="A81" t="s">
        <v>20</v>
      </c>
      <c r="B81" t="s">
        <v>379</v>
      </c>
      <c r="C81" t="s">
        <v>380</v>
      </c>
      <c r="D81" t="s">
        <v>381</v>
      </c>
      <c r="E81" s="5" t="s">
        <v>382</v>
      </c>
      <c r="F81" t="s">
        <v>383</v>
      </c>
      <c r="G81" t="s">
        <v>13</v>
      </c>
    </row>
    <row r="82" spans="1:7" x14ac:dyDescent="0.45">
      <c r="A82" t="s">
        <v>14</v>
      </c>
      <c r="B82" t="s">
        <v>384</v>
      </c>
      <c r="C82" t="s">
        <v>385</v>
      </c>
      <c r="D82" t="s">
        <v>386</v>
      </c>
      <c r="E82" s="5" t="s">
        <v>387</v>
      </c>
      <c r="F82" t="s">
        <v>388</v>
      </c>
      <c r="G82" t="s">
        <v>13</v>
      </c>
    </row>
    <row r="83" spans="1:7" x14ac:dyDescent="0.45">
      <c r="A83" t="s">
        <v>14</v>
      </c>
      <c r="B83" t="s">
        <v>389</v>
      </c>
      <c r="C83" t="s">
        <v>390</v>
      </c>
      <c r="D83" t="s">
        <v>391</v>
      </c>
      <c r="F83" t="s">
        <v>392</v>
      </c>
      <c r="G83" t="s">
        <v>13</v>
      </c>
    </row>
    <row r="84" spans="1:7" x14ac:dyDescent="0.45">
      <c r="A84" t="s">
        <v>20</v>
      </c>
      <c r="B84" t="s">
        <v>393</v>
      </c>
      <c r="C84" t="s">
        <v>394</v>
      </c>
      <c r="D84" t="s">
        <v>395</v>
      </c>
      <c r="E84" s="3" t="s">
        <v>396</v>
      </c>
      <c r="F84" t="s">
        <v>397</v>
      </c>
      <c r="G84" t="s">
        <v>13</v>
      </c>
    </row>
    <row r="85" spans="1:7" x14ac:dyDescent="0.45">
      <c r="A85" t="s">
        <v>14</v>
      </c>
      <c r="B85" t="s">
        <v>398</v>
      </c>
      <c r="C85" t="s">
        <v>399</v>
      </c>
      <c r="D85" t="s">
        <v>400</v>
      </c>
      <c r="E85" s="5" t="s">
        <v>401</v>
      </c>
      <c r="F85" t="s">
        <v>402</v>
      </c>
      <c r="G85" t="s">
        <v>13</v>
      </c>
    </row>
    <row r="86" spans="1:7" x14ac:dyDescent="0.45">
      <c r="A86" t="s">
        <v>14</v>
      </c>
      <c r="B86" t="s">
        <v>403</v>
      </c>
      <c r="C86" t="s">
        <v>404</v>
      </c>
      <c r="D86" t="s">
        <v>405</v>
      </c>
      <c r="E86" s="5" t="s">
        <v>406</v>
      </c>
      <c r="F86" t="s">
        <v>407</v>
      </c>
      <c r="G86" t="s">
        <v>13</v>
      </c>
    </row>
    <row r="87" spans="1:7" x14ac:dyDescent="0.45">
      <c r="A87" t="s">
        <v>20</v>
      </c>
      <c r="B87" t="s">
        <v>408</v>
      </c>
      <c r="C87" t="s">
        <v>409</v>
      </c>
      <c r="D87" t="s">
        <v>410</v>
      </c>
      <c r="E87" s="3" t="s">
        <v>411</v>
      </c>
      <c r="F87" t="s">
        <v>412</v>
      </c>
      <c r="G87" t="s">
        <v>13</v>
      </c>
    </row>
    <row r="88" spans="1:7" x14ac:dyDescent="0.45">
      <c r="A88" t="s">
        <v>20</v>
      </c>
      <c r="B88" t="s">
        <v>413</v>
      </c>
      <c r="C88" t="s">
        <v>414</v>
      </c>
      <c r="D88" t="s">
        <v>415</v>
      </c>
      <c r="E88" s="3" t="s">
        <v>416</v>
      </c>
      <c r="F88" t="s">
        <v>417</v>
      </c>
      <c r="G88" t="s">
        <v>13</v>
      </c>
    </row>
    <row r="89" spans="1:7" x14ac:dyDescent="0.45">
      <c r="A89" t="s">
        <v>20</v>
      </c>
      <c r="B89" t="s">
        <v>418</v>
      </c>
      <c r="C89" t="s">
        <v>419</v>
      </c>
      <c r="D89" t="s">
        <v>420</v>
      </c>
      <c r="E89" s="3" t="s">
        <v>421</v>
      </c>
      <c r="F89" t="s">
        <v>422</v>
      </c>
      <c r="G89" t="s">
        <v>13</v>
      </c>
    </row>
    <row r="90" spans="1:7" x14ac:dyDescent="0.45">
      <c r="A90" t="s">
        <v>20</v>
      </c>
      <c r="B90" t="s">
        <v>423</v>
      </c>
      <c r="C90" t="s">
        <v>424</v>
      </c>
      <c r="D90" t="s">
        <v>425</v>
      </c>
      <c r="E90" s="5" t="s">
        <v>426</v>
      </c>
      <c r="F90" t="s">
        <v>427</v>
      </c>
      <c r="G90" t="s">
        <v>13</v>
      </c>
    </row>
    <row r="91" spans="1:7" x14ac:dyDescent="0.45">
      <c r="A91" t="s">
        <v>20</v>
      </c>
      <c r="B91" t="s">
        <v>428</v>
      </c>
      <c r="C91" t="s">
        <v>429</v>
      </c>
      <c r="D91" t="s">
        <v>430</v>
      </c>
      <c r="E91" s="5" t="s">
        <v>431</v>
      </c>
      <c r="F91" t="s">
        <v>432</v>
      </c>
      <c r="G91" t="s">
        <v>13</v>
      </c>
    </row>
    <row r="92" spans="1:7" x14ac:dyDescent="0.45">
      <c r="A92" t="s">
        <v>14</v>
      </c>
      <c r="B92" t="s">
        <v>433</v>
      </c>
      <c r="C92" t="s">
        <v>434</v>
      </c>
      <c r="D92" t="s">
        <v>435</v>
      </c>
      <c r="F92" t="s">
        <v>436</v>
      </c>
      <c r="G92" t="s">
        <v>13</v>
      </c>
    </row>
    <row r="93" spans="1:7" x14ac:dyDescent="0.45">
      <c r="A93" t="s">
        <v>14</v>
      </c>
      <c r="B93" t="s">
        <v>437</v>
      </c>
      <c r="C93" t="s">
        <v>438</v>
      </c>
      <c r="D93" t="s">
        <v>439</v>
      </c>
      <c r="E93" s="3" t="s">
        <v>440</v>
      </c>
      <c r="F93" t="s">
        <v>441</v>
      </c>
      <c r="G93" t="s">
        <v>13</v>
      </c>
    </row>
    <row r="94" spans="1:7" x14ac:dyDescent="0.45">
      <c r="A94" t="s">
        <v>14</v>
      </c>
      <c r="B94" t="s">
        <v>442</v>
      </c>
      <c r="C94" t="s">
        <v>443</v>
      </c>
      <c r="D94" t="s">
        <v>444</v>
      </c>
      <c r="F94" t="s">
        <v>445</v>
      </c>
      <c r="G94" t="s">
        <v>13</v>
      </c>
    </row>
    <row r="95" spans="1:7" x14ac:dyDescent="0.45">
      <c r="A95" t="s">
        <v>20</v>
      </c>
      <c r="B95" t="s">
        <v>446</v>
      </c>
      <c r="C95" t="s">
        <v>447</v>
      </c>
      <c r="D95" t="s">
        <v>448</v>
      </c>
      <c r="E95" s="5" t="s">
        <v>449</v>
      </c>
      <c r="F95" t="s">
        <v>450</v>
      </c>
      <c r="G95" t="s">
        <v>13</v>
      </c>
    </row>
    <row r="96" spans="1:7" x14ac:dyDescent="0.45">
      <c r="A96" t="s">
        <v>14</v>
      </c>
      <c r="B96" t="s">
        <v>451</v>
      </c>
      <c r="C96" t="s">
        <v>452</v>
      </c>
      <c r="D96" t="s">
        <v>453</v>
      </c>
      <c r="F96" t="s">
        <v>454</v>
      </c>
      <c r="G96" t="s">
        <v>13</v>
      </c>
    </row>
    <row r="97" spans="1:7" x14ac:dyDescent="0.45">
      <c r="A97" t="s">
        <v>20</v>
      </c>
      <c r="B97" t="s">
        <v>455</v>
      </c>
      <c r="C97" t="s">
        <v>456</v>
      </c>
      <c r="D97" t="s">
        <v>457</v>
      </c>
      <c r="E97" s="5" t="s">
        <v>458</v>
      </c>
      <c r="F97" t="s">
        <v>459</v>
      </c>
      <c r="G97" t="s">
        <v>13</v>
      </c>
    </row>
    <row r="98" spans="1:7" x14ac:dyDescent="0.45">
      <c r="A98" t="s">
        <v>156</v>
      </c>
      <c r="B98" t="s">
        <v>460</v>
      </c>
      <c r="C98" t="s">
        <v>461</v>
      </c>
      <c r="D98" t="s">
        <v>462</v>
      </c>
      <c r="F98" t="s">
        <v>463</v>
      </c>
      <c r="G98" t="s">
        <v>13</v>
      </c>
    </row>
    <row r="99" spans="1:7" x14ac:dyDescent="0.45">
      <c r="A99" t="s">
        <v>14</v>
      </c>
      <c r="B99" t="s">
        <v>464</v>
      </c>
      <c r="C99" t="s">
        <v>465</v>
      </c>
      <c r="D99" t="s">
        <v>466</v>
      </c>
      <c r="E99" s="5" t="s">
        <v>467</v>
      </c>
      <c r="F99" t="s">
        <v>468</v>
      </c>
      <c r="G99" t="s">
        <v>13</v>
      </c>
    </row>
    <row r="100" spans="1:7" x14ac:dyDescent="0.45">
      <c r="A100" t="s">
        <v>20</v>
      </c>
      <c r="B100" t="s">
        <v>469</v>
      </c>
      <c r="C100" t="s">
        <v>470</v>
      </c>
      <c r="D100" t="s">
        <v>471</v>
      </c>
      <c r="E100" s="5" t="s">
        <v>472</v>
      </c>
      <c r="F100" t="s">
        <v>473</v>
      </c>
      <c r="G100" t="s">
        <v>13</v>
      </c>
    </row>
    <row r="101" spans="1:7" x14ac:dyDescent="0.45">
      <c r="A101" t="s">
        <v>14</v>
      </c>
      <c r="B101" t="s">
        <v>474</v>
      </c>
      <c r="C101" t="s">
        <v>475</v>
      </c>
      <c r="D101" t="s">
        <v>476</v>
      </c>
      <c r="E101" s="5" t="s">
        <v>477</v>
      </c>
      <c r="F101" t="s">
        <v>478</v>
      </c>
      <c r="G101" t="s">
        <v>13</v>
      </c>
    </row>
    <row r="102" spans="1:7" x14ac:dyDescent="0.45">
      <c r="A102" t="s">
        <v>20</v>
      </c>
      <c r="B102" t="s">
        <v>479</v>
      </c>
      <c r="C102" t="s">
        <v>480</v>
      </c>
      <c r="D102" t="s">
        <v>481</v>
      </c>
      <c r="E102" s="5" t="s">
        <v>482</v>
      </c>
      <c r="F102" t="s">
        <v>483</v>
      </c>
      <c r="G102" t="s">
        <v>13</v>
      </c>
    </row>
    <row r="103" spans="1:7" x14ac:dyDescent="0.45">
      <c r="A103" t="s">
        <v>14</v>
      </c>
      <c r="B103" t="s">
        <v>484</v>
      </c>
      <c r="C103" t="s">
        <v>485</v>
      </c>
      <c r="D103" t="s">
        <v>486</v>
      </c>
      <c r="E103" s="5" t="s">
        <v>487</v>
      </c>
      <c r="F103" t="s">
        <v>488</v>
      </c>
      <c r="G103" t="s">
        <v>13</v>
      </c>
    </row>
    <row r="104" spans="1:7" x14ac:dyDescent="0.45">
      <c r="A104" t="s">
        <v>14</v>
      </c>
      <c r="B104" t="s">
        <v>489</v>
      </c>
      <c r="C104" t="s">
        <v>490</v>
      </c>
      <c r="D104" t="s">
        <v>491</v>
      </c>
      <c r="E104" s="5" t="s">
        <v>492</v>
      </c>
      <c r="F104" t="s">
        <v>493</v>
      </c>
      <c r="G104" t="s">
        <v>13</v>
      </c>
    </row>
    <row r="105" spans="1:7" x14ac:dyDescent="0.45">
      <c r="A105" t="s">
        <v>14</v>
      </c>
      <c r="B105" t="s">
        <v>494</v>
      </c>
      <c r="C105" t="s">
        <v>495</v>
      </c>
      <c r="D105" t="s">
        <v>496</v>
      </c>
      <c r="E105" s="5"/>
      <c r="F105" t="s">
        <v>497</v>
      </c>
      <c r="G105" t="s">
        <v>13</v>
      </c>
    </row>
    <row r="106" spans="1:7" x14ac:dyDescent="0.45">
      <c r="A106" t="s">
        <v>14</v>
      </c>
      <c r="B106" t="s">
        <v>498</v>
      </c>
      <c r="C106" t="s">
        <v>499</v>
      </c>
      <c r="D106" t="s">
        <v>500</v>
      </c>
      <c r="E106" s="5" t="s">
        <v>501</v>
      </c>
      <c r="F106" t="s">
        <v>502</v>
      </c>
      <c r="G106" t="s">
        <v>13</v>
      </c>
    </row>
    <row r="107" spans="1:7" x14ac:dyDescent="0.45">
      <c r="A107" t="s">
        <v>14</v>
      </c>
      <c r="B107" t="s">
        <v>503</v>
      </c>
      <c r="C107" t="s">
        <v>504</v>
      </c>
      <c r="D107" t="s">
        <v>505</v>
      </c>
      <c r="E107" s="5"/>
      <c r="F107" t="s">
        <v>506</v>
      </c>
      <c r="G107" t="s">
        <v>13</v>
      </c>
    </row>
    <row r="108" spans="1:7" x14ac:dyDescent="0.45">
      <c r="A108" t="s">
        <v>14</v>
      </c>
      <c r="B108" t="s">
        <v>507</v>
      </c>
      <c r="C108" t="s">
        <v>508</v>
      </c>
      <c r="D108" t="s">
        <v>509</v>
      </c>
      <c r="F108" t="s">
        <v>510</v>
      </c>
      <c r="G108" t="s">
        <v>13</v>
      </c>
    </row>
    <row r="109" spans="1:7" x14ac:dyDescent="0.45">
      <c r="A109" t="s">
        <v>14</v>
      </c>
      <c r="B109" t="s">
        <v>511</v>
      </c>
      <c r="C109" t="s">
        <v>512</v>
      </c>
      <c r="D109" t="s">
        <v>513</v>
      </c>
      <c r="E109" s="5" t="s">
        <v>514</v>
      </c>
      <c r="F109" t="s">
        <v>515</v>
      </c>
      <c r="G109" t="s">
        <v>13</v>
      </c>
    </row>
    <row r="110" spans="1:7" x14ac:dyDescent="0.45">
      <c r="A110" t="s">
        <v>7</v>
      </c>
      <c r="B110" t="s">
        <v>516</v>
      </c>
      <c r="C110" t="s">
        <v>517</v>
      </c>
      <c r="D110" t="s">
        <v>518</v>
      </c>
      <c r="E110" s="5"/>
      <c r="F110" t="s">
        <v>519</v>
      </c>
      <c r="G110" t="s">
        <v>13</v>
      </c>
    </row>
    <row r="111" spans="1:7" x14ac:dyDescent="0.45">
      <c r="A111" t="s">
        <v>7</v>
      </c>
      <c r="B111" t="s">
        <v>520</v>
      </c>
      <c r="C111" t="s">
        <v>521</v>
      </c>
      <c r="D111" t="s">
        <v>522</v>
      </c>
      <c r="E111" s="5" t="s">
        <v>523</v>
      </c>
      <c r="F111" t="s">
        <v>524</v>
      </c>
      <c r="G111" t="s">
        <v>13</v>
      </c>
    </row>
    <row r="112" spans="1:7" x14ac:dyDescent="0.45">
      <c r="A112" t="s">
        <v>7</v>
      </c>
      <c r="B112" t="s">
        <v>525</v>
      </c>
      <c r="C112" t="s">
        <v>526</v>
      </c>
      <c r="D112" t="s">
        <v>527</v>
      </c>
      <c r="E112" s="5"/>
      <c r="F112" t="s">
        <v>528</v>
      </c>
      <c r="G112" t="s">
        <v>13</v>
      </c>
    </row>
    <row r="113" spans="1:7" x14ac:dyDescent="0.45">
      <c r="A113" t="s">
        <v>7</v>
      </c>
      <c r="B113" t="s">
        <v>529</v>
      </c>
      <c r="C113" t="s">
        <v>530</v>
      </c>
      <c r="D113" t="s">
        <v>531</v>
      </c>
      <c r="E113" s="5"/>
      <c r="F113" t="s">
        <v>532</v>
      </c>
      <c r="G113" t="s">
        <v>13</v>
      </c>
    </row>
    <row r="114" spans="1:7" x14ac:dyDescent="0.45">
      <c r="A114" t="s">
        <v>7</v>
      </c>
      <c r="B114" t="s">
        <v>533</v>
      </c>
      <c r="C114" t="s">
        <v>534</v>
      </c>
      <c r="D114" t="s">
        <v>535</v>
      </c>
      <c r="E114" s="5" t="s">
        <v>536</v>
      </c>
      <c r="F114" t="s">
        <v>537</v>
      </c>
      <c r="G114" t="s">
        <v>13</v>
      </c>
    </row>
    <row r="115" spans="1:7" x14ac:dyDescent="0.45">
      <c r="A115" t="s">
        <v>7</v>
      </c>
      <c r="B115" t="s">
        <v>538</v>
      </c>
      <c r="C115" t="s">
        <v>539</v>
      </c>
      <c r="D115" t="s">
        <v>540</v>
      </c>
      <c r="E115" s="5"/>
      <c r="F115" t="s">
        <v>541</v>
      </c>
      <c r="G115" t="s">
        <v>13</v>
      </c>
    </row>
    <row r="116" spans="1:7" x14ac:dyDescent="0.45">
      <c r="A116" t="s">
        <v>7</v>
      </c>
      <c r="B116" t="s">
        <v>542</v>
      </c>
      <c r="C116" t="s">
        <v>543</v>
      </c>
      <c r="D116"/>
      <c r="E116" s="5"/>
      <c r="F116" t="s">
        <v>544</v>
      </c>
      <c r="G116" t="s">
        <v>545</v>
      </c>
    </row>
  </sheetData>
  <autoFilter ref="A1:E109" xr:uid="{00000000-0009-0000-0000-000000000000}"/>
  <phoneticPr fontId="1" type="noConversion"/>
  <hyperlinks>
    <hyperlink ref="E2" r:id="rId1" xr:uid="{00000000-0004-0000-0000-000000000000}"/>
    <hyperlink ref="E3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5" r:id="rId9" xr:uid="{00000000-0004-0000-0000-000008000000}"/>
    <hyperlink ref="E20" r:id="rId10" xr:uid="{00000000-0004-0000-0000-000009000000}"/>
    <hyperlink ref="E21" r:id="rId11" xr:uid="{00000000-0004-0000-0000-00000A000000}"/>
    <hyperlink ref="E23" r:id="rId12" xr:uid="{00000000-0004-0000-0000-00000B000000}"/>
    <hyperlink ref="E24" r:id="rId13" xr:uid="{00000000-0004-0000-0000-00000C000000}"/>
    <hyperlink ref="E25" r:id="rId14" xr:uid="{00000000-0004-0000-0000-00000D000000}"/>
    <hyperlink ref="E28" r:id="rId15" xr:uid="{00000000-0004-0000-0000-00000E000000}"/>
    <hyperlink ref="E34" r:id="rId16" xr:uid="{00000000-0004-0000-0000-00000F000000}"/>
    <hyperlink ref="E35" r:id="rId17" xr:uid="{00000000-0004-0000-0000-000010000000}"/>
    <hyperlink ref="E38" r:id="rId18" xr:uid="{00000000-0004-0000-0000-000011000000}"/>
    <hyperlink ref="E41" r:id="rId19" xr:uid="{00000000-0004-0000-0000-000012000000}"/>
    <hyperlink ref="E42" r:id="rId20" xr:uid="{00000000-0004-0000-0000-000013000000}"/>
    <hyperlink ref="E52" r:id="rId21" xr:uid="{00000000-0004-0000-0000-000014000000}"/>
    <hyperlink ref="E65" r:id="rId22" xr:uid="{00000000-0004-0000-0000-000015000000}"/>
    <hyperlink ref="E67" r:id="rId23" xr:uid="{00000000-0004-0000-0000-000016000000}"/>
    <hyperlink ref="E72" r:id="rId24" display="https://wu.ac.kr/wu/9385/subview.do?enc=Zm5jdDF8QEB8JTJGYmJzJTJGd3UlMkYzOCUyRjEwNzQyMyUyRmFydGNsVmlldy5kbyUzRnBhZ2UlM0QxJTI2c3JjaENvbHVtbiUzRCUyNnNyY2hXcmQlM0QlMjZiYnNDbFNlcSUzRCUyNmJic09wZW5XcmRTZXElM0QlMjZyZ3NCZ25kZVN0ciUzRCUyNnJnc0VuZGRlU3RyJTNEJTI2aXNWaWV3TWluZSUzRGZhbHNlJTI2cGFzc3dvcmQlM0QlMjY%3D" xr:uid="{00000000-0004-0000-0000-000017000000}"/>
    <hyperlink ref="E74" r:id="rId25" xr:uid="{00000000-0004-0000-0000-000018000000}"/>
    <hyperlink ref="E80" r:id="rId26" xr:uid="{00000000-0004-0000-0000-000019000000}"/>
    <hyperlink ref="E84" r:id="rId27" xr:uid="{00000000-0004-0000-0000-00001A000000}"/>
    <hyperlink ref="E87" r:id="rId28" xr:uid="{00000000-0004-0000-0000-00001B000000}"/>
    <hyperlink ref="E88" r:id="rId29" xr:uid="{00000000-0004-0000-0000-00001C000000}"/>
    <hyperlink ref="E89" r:id="rId30" xr:uid="{00000000-0004-0000-0000-00001D000000}"/>
    <hyperlink ref="E93" r:id="rId31" xr:uid="{00000000-0004-0000-0000-00001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5"/>
  <sheetViews>
    <sheetView tabSelected="1" zoomScale="85" zoomScaleNormal="85" workbookViewId="0">
      <pane ySplit="1" topLeftCell="A146" activePane="bottomLeft" state="frozen"/>
      <selection pane="bottomLeft" activeCell="L178" sqref="L178"/>
    </sheetView>
  </sheetViews>
  <sheetFormatPr defaultColWidth="8.83203125" defaultRowHeight="17" x14ac:dyDescent="0.45"/>
  <cols>
    <col min="1" max="1" width="23" style="2" customWidth="1"/>
    <col min="2" max="2" width="11.33203125" style="2" customWidth="1"/>
    <col min="3" max="3" width="27.33203125" style="2" customWidth="1"/>
    <col min="4" max="4" width="11.75" style="2" customWidth="1"/>
    <col min="5" max="5" width="8.83203125" style="2" customWidth="1"/>
    <col min="6" max="6" width="13.58203125" style="2" customWidth="1"/>
    <col min="7" max="7" width="19.4140625" style="2" customWidth="1"/>
    <col min="8" max="8" width="21.9140625" style="2" customWidth="1"/>
    <col min="9" max="9" width="34.6640625" style="2" customWidth="1"/>
    <col min="10" max="10" width="22.9140625" style="2" customWidth="1"/>
    <col min="11" max="11" width="29.33203125" style="2" customWidth="1"/>
    <col min="12" max="12" width="18.75" style="2" customWidth="1"/>
    <col min="13" max="13" width="33.08203125" style="2" customWidth="1"/>
    <col min="14" max="14" width="61" style="2" customWidth="1"/>
    <col min="15" max="15" width="67.25" style="2" customWidth="1"/>
    <col min="16" max="16" width="46.5" style="2" customWidth="1"/>
  </cols>
  <sheetData>
    <row r="1" spans="1:16" x14ac:dyDescent="0.45">
      <c r="A1" s="1" t="s">
        <v>546</v>
      </c>
      <c r="B1" s="1" t="s">
        <v>547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  <c r="I1" s="1" t="s">
        <v>554</v>
      </c>
      <c r="J1" s="1" t="s">
        <v>555</v>
      </c>
      <c r="K1" s="1" t="s">
        <v>556</v>
      </c>
      <c r="L1" s="1" t="s">
        <v>557</v>
      </c>
      <c r="M1" s="1" t="s">
        <v>558</v>
      </c>
      <c r="N1" s="1" t="s">
        <v>559</v>
      </c>
      <c r="O1" s="1" t="s">
        <v>560</v>
      </c>
      <c r="P1" s="1" t="s">
        <v>561</v>
      </c>
    </row>
    <row r="2" spans="1:16" x14ac:dyDescent="0.45">
      <c r="A2" t="s">
        <v>15</v>
      </c>
      <c r="B2" t="s">
        <v>562</v>
      </c>
      <c r="C2" t="s">
        <v>563</v>
      </c>
      <c r="D2">
        <v>37.451234869508497</v>
      </c>
      <c r="E2">
        <v>127.12939432624</v>
      </c>
      <c r="F2" t="s">
        <v>564</v>
      </c>
      <c r="G2">
        <v>1</v>
      </c>
      <c r="I2" t="s">
        <v>19</v>
      </c>
      <c r="J2" t="s">
        <v>565</v>
      </c>
      <c r="K2" t="s">
        <v>566</v>
      </c>
      <c r="L2" t="s">
        <v>567</v>
      </c>
      <c r="M2" t="s">
        <v>568</v>
      </c>
      <c r="N2" t="s">
        <v>569</v>
      </c>
      <c r="P2">
        <v>2360</v>
      </c>
    </row>
    <row r="3" spans="1:16" x14ac:dyDescent="0.45">
      <c r="A3" t="s">
        <v>15</v>
      </c>
      <c r="B3" t="s">
        <v>570</v>
      </c>
      <c r="C3" t="s">
        <v>571</v>
      </c>
      <c r="D3">
        <v>37.422254466358602</v>
      </c>
      <c r="E3">
        <v>126.687483413764</v>
      </c>
      <c r="F3" t="s">
        <v>572</v>
      </c>
      <c r="G3">
        <v>0</v>
      </c>
      <c r="H3" t="s">
        <v>571</v>
      </c>
      <c r="I3" t="s">
        <v>19</v>
      </c>
      <c r="J3" t="s">
        <v>573</v>
      </c>
      <c r="K3" t="s">
        <v>574</v>
      </c>
      <c r="L3" t="s">
        <v>575</v>
      </c>
      <c r="M3" t="s">
        <v>576</v>
      </c>
      <c r="N3" t="s">
        <v>577</v>
      </c>
      <c r="P3">
        <v>110</v>
      </c>
    </row>
    <row r="4" spans="1:16" x14ac:dyDescent="0.45">
      <c r="A4" t="s">
        <v>21</v>
      </c>
      <c r="B4" t="s">
        <v>578</v>
      </c>
      <c r="C4" t="s">
        <v>579</v>
      </c>
      <c r="D4">
        <v>37.3051734296711</v>
      </c>
      <c r="E4">
        <v>127.922147145205</v>
      </c>
      <c r="F4" t="s">
        <v>572</v>
      </c>
      <c r="G4">
        <v>0</v>
      </c>
      <c r="H4" t="s">
        <v>579</v>
      </c>
      <c r="J4" t="s">
        <v>580</v>
      </c>
      <c r="K4" t="s">
        <v>581</v>
      </c>
      <c r="L4" t="s">
        <v>582</v>
      </c>
      <c r="M4" t="s">
        <v>583</v>
      </c>
      <c r="N4" t="s">
        <v>584</v>
      </c>
      <c r="O4" t="s">
        <v>585</v>
      </c>
    </row>
    <row r="5" spans="1:16" x14ac:dyDescent="0.45">
      <c r="A5" t="s">
        <v>21</v>
      </c>
      <c r="B5" t="s">
        <v>578</v>
      </c>
      <c r="C5" t="s">
        <v>586</v>
      </c>
      <c r="D5">
        <v>37.765741029794</v>
      </c>
      <c r="E5">
        <v>128.86992760530501</v>
      </c>
      <c r="F5" t="s">
        <v>572</v>
      </c>
      <c r="G5">
        <v>0</v>
      </c>
      <c r="H5" t="s">
        <v>586</v>
      </c>
      <c r="J5" t="s">
        <v>587</v>
      </c>
      <c r="K5" t="s">
        <v>588</v>
      </c>
      <c r="L5" t="s">
        <v>582</v>
      </c>
      <c r="M5" t="s">
        <v>589</v>
      </c>
      <c r="N5" t="s">
        <v>590</v>
      </c>
      <c r="O5" t="s">
        <v>591</v>
      </c>
    </row>
    <row r="6" spans="1:16" x14ac:dyDescent="0.45">
      <c r="A6" t="s">
        <v>25</v>
      </c>
      <c r="B6" t="s">
        <v>578</v>
      </c>
      <c r="C6" t="s">
        <v>563</v>
      </c>
      <c r="D6">
        <v>37.868005133907403</v>
      </c>
      <c r="E6">
        <v>127.748387235378</v>
      </c>
      <c r="F6" t="s">
        <v>564</v>
      </c>
      <c r="G6">
        <v>1</v>
      </c>
      <c r="I6" t="s">
        <v>28</v>
      </c>
      <c r="J6" t="s">
        <v>592</v>
      </c>
      <c r="K6" t="s">
        <v>593</v>
      </c>
      <c r="L6" t="s">
        <v>582</v>
      </c>
      <c r="M6" t="s">
        <v>594</v>
      </c>
      <c r="N6" t="s">
        <v>595</v>
      </c>
      <c r="O6" t="s">
        <v>596</v>
      </c>
      <c r="P6">
        <v>1472</v>
      </c>
    </row>
    <row r="7" spans="1:16" x14ac:dyDescent="0.45">
      <c r="A7" t="s">
        <v>25</v>
      </c>
      <c r="B7" t="s">
        <v>578</v>
      </c>
      <c r="C7" t="s">
        <v>597</v>
      </c>
      <c r="D7">
        <v>37.224056096018501</v>
      </c>
      <c r="E7">
        <v>129.09680085895999</v>
      </c>
      <c r="F7" t="s">
        <v>564</v>
      </c>
      <c r="G7">
        <v>1</v>
      </c>
      <c r="H7" t="s">
        <v>597</v>
      </c>
      <c r="I7" t="s">
        <v>28</v>
      </c>
      <c r="J7" t="s">
        <v>598</v>
      </c>
      <c r="K7" t="s">
        <v>599</v>
      </c>
      <c r="L7" t="s">
        <v>582</v>
      </c>
      <c r="M7" t="s">
        <v>600</v>
      </c>
      <c r="N7" t="s">
        <v>601</v>
      </c>
      <c r="O7" t="s">
        <v>602</v>
      </c>
      <c r="P7">
        <v>225</v>
      </c>
    </row>
    <row r="8" spans="1:16" x14ac:dyDescent="0.45">
      <c r="A8" t="s">
        <v>25</v>
      </c>
      <c r="B8" t="s">
        <v>578</v>
      </c>
      <c r="C8" t="s">
        <v>603</v>
      </c>
      <c r="D8">
        <v>37.450795742598999</v>
      </c>
      <c r="E8">
        <v>129.15994437258701</v>
      </c>
      <c r="F8" t="s">
        <v>572</v>
      </c>
      <c r="G8">
        <v>0</v>
      </c>
      <c r="H8" t="s">
        <v>603</v>
      </c>
      <c r="I8" t="s">
        <v>28</v>
      </c>
      <c r="J8" t="s">
        <v>604</v>
      </c>
      <c r="K8" t="s">
        <v>605</v>
      </c>
      <c r="L8" t="s">
        <v>582</v>
      </c>
      <c r="M8" t="s">
        <v>606</v>
      </c>
      <c r="N8" t="s">
        <v>607</v>
      </c>
      <c r="O8" t="s">
        <v>602</v>
      </c>
    </row>
    <row r="9" spans="1:16" x14ac:dyDescent="0.45">
      <c r="A9" t="s">
        <v>29</v>
      </c>
      <c r="B9" t="s">
        <v>608</v>
      </c>
      <c r="C9" t="s">
        <v>609</v>
      </c>
      <c r="D9">
        <v>37.539182674872002</v>
      </c>
      <c r="E9">
        <v>127.07471190226801</v>
      </c>
      <c r="F9" t="s">
        <v>564</v>
      </c>
      <c r="G9">
        <v>1</v>
      </c>
      <c r="H9" t="s">
        <v>609</v>
      </c>
      <c r="I9" t="str">
        <f>PROPER("KONKUK University Glocal Campus")</f>
        <v>Konkuk University Glocal Campus</v>
      </c>
      <c r="J9" t="s">
        <v>610</v>
      </c>
      <c r="K9" t="s">
        <v>611</v>
      </c>
      <c r="L9" t="s">
        <v>612</v>
      </c>
      <c r="M9" t="s">
        <v>613</v>
      </c>
      <c r="N9" t="s">
        <v>614</v>
      </c>
      <c r="P9">
        <v>2307</v>
      </c>
    </row>
    <row r="10" spans="1:16" x14ac:dyDescent="0.45">
      <c r="A10" t="s">
        <v>29</v>
      </c>
      <c r="B10" t="s">
        <v>615</v>
      </c>
      <c r="C10" t="s">
        <v>616</v>
      </c>
      <c r="D10">
        <v>36.9494495</v>
      </c>
      <c r="E10">
        <v>127.9075402</v>
      </c>
      <c r="F10" t="s">
        <v>564</v>
      </c>
      <c r="G10">
        <v>1</v>
      </c>
      <c r="H10" t="s">
        <v>616</v>
      </c>
      <c r="I10" t="str">
        <f>PROPER("KONKUK University Glocal Campus")</f>
        <v>Konkuk University Glocal Campus</v>
      </c>
      <c r="J10" t="s">
        <v>617</v>
      </c>
      <c r="K10" t="s">
        <v>618</v>
      </c>
      <c r="L10" t="s">
        <v>619</v>
      </c>
      <c r="M10" t="s">
        <v>620</v>
      </c>
      <c r="N10" t="s">
        <v>621</v>
      </c>
      <c r="P10">
        <v>800</v>
      </c>
    </row>
    <row r="11" spans="1:16" x14ac:dyDescent="0.45">
      <c r="A11" t="s">
        <v>34</v>
      </c>
      <c r="B11" t="s">
        <v>622</v>
      </c>
      <c r="C11" t="s">
        <v>623</v>
      </c>
      <c r="D11">
        <v>36.182151922081097</v>
      </c>
      <c r="E11">
        <v>127.10968740892601</v>
      </c>
      <c r="F11" t="s">
        <v>564</v>
      </c>
      <c r="G11">
        <v>1</v>
      </c>
      <c r="H11" t="s">
        <v>623</v>
      </c>
      <c r="I11" t="str">
        <f>PROPER("KONYANG")</f>
        <v>Konyang</v>
      </c>
      <c r="J11" t="s">
        <v>624</v>
      </c>
      <c r="K11" t="s">
        <v>625</v>
      </c>
      <c r="L11" t="s">
        <v>626</v>
      </c>
      <c r="M11" t="s">
        <v>627</v>
      </c>
      <c r="N11" t="s">
        <v>628</v>
      </c>
      <c r="P11">
        <v>400</v>
      </c>
    </row>
    <row r="12" spans="1:16" x14ac:dyDescent="0.45">
      <c r="A12" t="s">
        <v>34</v>
      </c>
      <c r="B12" t="s">
        <v>629</v>
      </c>
      <c r="C12" t="s">
        <v>571</v>
      </c>
      <c r="D12">
        <v>36.306774199975699</v>
      </c>
      <c r="E12">
        <v>127.343214331596</v>
      </c>
      <c r="F12" t="s">
        <v>572</v>
      </c>
      <c r="G12">
        <v>0</v>
      </c>
      <c r="H12" t="s">
        <v>571</v>
      </c>
      <c r="I12" t="str">
        <f>PROPER("KONYANG")</f>
        <v>Konyang</v>
      </c>
      <c r="J12" t="s">
        <v>630</v>
      </c>
      <c r="K12" t="s">
        <v>631</v>
      </c>
      <c r="L12" t="s">
        <v>632</v>
      </c>
      <c r="M12" t="s">
        <v>633</v>
      </c>
      <c r="N12" t="s">
        <v>634</v>
      </c>
    </row>
    <row r="13" spans="1:16" x14ac:dyDescent="0.45">
      <c r="A13" t="s">
        <v>39</v>
      </c>
      <c r="B13" t="s">
        <v>635</v>
      </c>
      <c r="C13" t="s">
        <v>563</v>
      </c>
      <c r="D13">
        <v>35.1843203764588</v>
      </c>
      <c r="E13">
        <v>128.55509724167501</v>
      </c>
      <c r="F13" t="s">
        <v>564</v>
      </c>
      <c r="G13">
        <v>1</v>
      </c>
      <c r="I13" t="s">
        <v>43</v>
      </c>
      <c r="J13" t="s">
        <v>636</v>
      </c>
      <c r="K13" t="s">
        <v>637</v>
      </c>
      <c r="L13" t="s">
        <v>638</v>
      </c>
      <c r="M13" t="s">
        <v>639</v>
      </c>
      <c r="N13" t="s">
        <v>640</v>
      </c>
      <c r="P13">
        <v>569</v>
      </c>
    </row>
    <row r="14" spans="1:16" x14ac:dyDescent="0.45">
      <c r="A14" t="s">
        <v>44</v>
      </c>
      <c r="B14" t="s">
        <v>641</v>
      </c>
      <c r="C14" t="s">
        <v>642</v>
      </c>
      <c r="D14">
        <v>35.889097488494798</v>
      </c>
      <c r="E14">
        <v>128.61432233630299</v>
      </c>
      <c r="F14" t="s">
        <v>564</v>
      </c>
      <c r="G14">
        <v>1</v>
      </c>
      <c r="H14" t="s">
        <v>642</v>
      </c>
      <c r="I14" t="s">
        <v>48</v>
      </c>
      <c r="J14" t="s">
        <v>643</v>
      </c>
      <c r="K14" t="s">
        <v>644</v>
      </c>
      <c r="L14" t="s">
        <v>645</v>
      </c>
      <c r="M14" t="s">
        <v>646</v>
      </c>
      <c r="N14" t="s">
        <v>647</v>
      </c>
      <c r="P14">
        <v>223</v>
      </c>
    </row>
    <row r="15" spans="1:16" x14ac:dyDescent="0.45">
      <c r="A15" t="s">
        <v>49</v>
      </c>
      <c r="B15" t="s">
        <v>635</v>
      </c>
      <c r="C15" t="s">
        <v>648</v>
      </c>
      <c r="D15">
        <v>34.836421466734059</v>
      </c>
      <c r="E15">
        <v>128.39915915760599</v>
      </c>
      <c r="F15" t="s">
        <v>564</v>
      </c>
      <c r="G15">
        <v>1</v>
      </c>
      <c r="H15" t="s">
        <v>648</v>
      </c>
      <c r="I15" t="s">
        <v>53</v>
      </c>
      <c r="J15" t="s">
        <v>649</v>
      </c>
      <c r="K15" t="s">
        <v>650</v>
      </c>
      <c r="L15" t="s">
        <v>638</v>
      </c>
      <c r="M15" t="s">
        <v>651</v>
      </c>
      <c r="N15" t="s">
        <v>652</v>
      </c>
      <c r="P15">
        <v>85</v>
      </c>
    </row>
    <row r="16" spans="1:16" x14ac:dyDescent="0.45">
      <c r="A16" t="s">
        <v>49</v>
      </c>
      <c r="B16" t="s">
        <v>635</v>
      </c>
      <c r="C16" t="s">
        <v>653</v>
      </c>
      <c r="D16">
        <v>35.157093484982703</v>
      </c>
      <c r="E16">
        <v>128.082468134869</v>
      </c>
      <c r="F16" t="s">
        <v>572</v>
      </c>
      <c r="G16">
        <v>0</v>
      </c>
      <c r="H16" t="s">
        <v>653</v>
      </c>
      <c r="I16" t="s">
        <v>53</v>
      </c>
      <c r="J16" t="s">
        <v>654</v>
      </c>
      <c r="K16" t="s">
        <v>655</v>
      </c>
      <c r="L16" t="s">
        <v>638</v>
      </c>
      <c r="M16" t="s">
        <v>656</v>
      </c>
      <c r="N16" t="s">
        <v>657</v>
      </c>
      <c r="O16" t="s">
        <v>658</v>
      </c>
    </row>
    <row r="17" spans="1:16" x14ac:dyDescent="0.45">
      <c r="A17" t="s">
        <v>49</v>
      </c>
      <c r="B17" t="s">
        <v>635</v>
      </c>
      <c r="C17" t="s">
        <v>659</v>
      </c>
      <c r="D17">
        <v>35.156715112515741</v>
      </c>
      <c r="E17">
        <v>128.0980020769947</v>
      </c>
      <c r="F17" t="s">
        <v>564</v>
      </c>
      <c r="G17">
        <v>1</v>
      </c>
      <c r="H17" t="s">
        <v>659</v>
      </c>
      <c r="I17" t="s">
        <v>53</v>
      </c>
      <c r="J17" t="s">
        <v>660</v>
      </c>
      <c r="K17" t="s">
        <v>661</v>
      </c>
      <c r="L17" t="s">
        <v>638</v>
      </c>
      <c r="M17" t="s">
        <v>662</v>
      </c>
      <c r="N17" t="s">
        <v>663</v>
      </c>
      <c r="P17">
        <v>435</v>
      </c>
    </row>
    <row r="18" spans="1:16" x14ac:dyDescent="0.45">
      <c r="A18" t="s">
        <v>49</v>
      </c>
      <c r="B18" t="s">
        <v>635</v>
      </c>
      <c r="C18" t="s">
        <v>664</v>
      </c>
      <c r="D18">
        <v>35.175938904388801</v>
      </c>
      <c r="E18">
        <v>128.09491566965301</v>
      </c>
      <c r="F18" t="s">
        <v>564</v>
      </c>
      <c r="G18">
        <v>1</v>
      </c>
      <c r="H18" t="s">
        <v>665</v>
      </c>
      <c r="I18" t="s">
        <v>53</v>
      </c>
      <c r="J18" t="s">
        <v>666</v>
      </c>
      <c r="K18" t="s">
        <v>667</v>
      </c>
      <c r="L18" t="s">
        <v>638</v>
      </c>
      <c r="M18" t="s">
        <v>668</v>
      </c>
      <c r="N18" t="s">
        <v>669</v>
      </c>
      <c r="P18">
        <v>39</v>
      </c>
    </row>
    <row r="19" spans="1:16" x14ac:dyDescent="0.45">
      <c r="A19" t="s">
        <v>49</v>
      </c>
      <c r="B19" t="s">
        <v>635</v>
      </c>
      <c r="C19" t="s">
        <v>670</v>
      </c>
      <c r="D19">
        <v>35.179265875863898</v>
      </c>
      <c r="E19">
        <v>128.09208085216301</v>
      </c>
      <c r="F19" t="s">
        <v>572</v>
      </c>
      <c r="G19">
        <v>0</v>
      </c>
      <c r="H19" t="s">
        <v>670</v>
      </c>
      <c r="I19" t="s">
        <v>53</v>
      </c>
      <c r="J19" t="s">
        <v>671</v>
      </c>
      <c r="K19" t="s">
        <v>672</v>
      </c>
      <c r="L19" t="s">
        <v>638</v>
      </c>
      <c r="M19" t="s">
        <v>673</v>
      </c>
      <c r="N19" t="s">
        <v>674</v>
      </c>
    </row>
    <row r="20" spans="1:16" x14ac:dyDescent="0.45">
      <c r="A20" t="s">
        <v>49</v>
      </c>
      <c r="B20" t="s">
        <v>635</v>
      </c>
      <c r="C20" t="s">
        <v>675</v>
      </c>
      <c r="D20">
        <v>35.240868345979003</v>
      </c>
      <c r="E20">
        <v>128.63192475640301</v>
      </c>
      <c r="F20" t="s">
        <v>572</v>
      </c>
      <c r="G20">
        <v>0</v>
      </c>
      <c r="H20" t="s">
        <v>675</v>
      </c>
      <c r="I20" t="s">
        <v>53</v>
      </c>
      <c r="J20" t="s">
        <v>676</v>
      </c>
      <c r="K20" t="s">
        <v>677</v>
      </c>
      <c r="L20" t="s">
        <v>638</v>
      </c>
      <c r="M20" t="s">
        <v>678</v>
      </c>
      <c r="N20" t="s">
        <v>679</v>
      </c>
    </row>
    <row r="21" spans="1:16" x14ac:dyDescent="0.45">
      <c r="A21" t="s">
        <v>54</v>
      </c>
      <c r="B21" t="s">
        <v>570</v>
      </c>
      <c r="C21" t="s">
        <v>563</v>
      </c>
      <c r="D21">
        <v>37.536704888249403</v>
      </c>
      <c r="E21">
        <v>126.718842140379</v>
      </c>
      <c r="F21" t="s">
        <v>564</v>
      </c>
      <c r="G21">
        <v>1</v>
      </c>
      <c r="I21" t="str">
        <f>PROPER("Gyeongin national university of education")</f>
        <v>Gyeongin National University Of Education</v>
      </c>
      <c r="J21" t="s">
        <v>680</v>
      </c>
      <c r="K21" t="s">
        <v>681</v>
      </c>
      <c r="L21" t="s">
        <v>575</v>
      </c>
      <c r="M21" t="s">
        <v>682</v>
      </c>
      <c r="N21" t="s">
        <v>683</v>
      </c>
      <c r="P21">
        <v>325</v>
      </c>
    </row>
    <row r="22" spans="1:16" x14ac:dyDescent="0.45">
      <c r="A22" t="s">
        <v>54</v>
      </c>
      <c r="B22" t="s">
        <v>562</v>
      </c>
      <c r="C22" t="s">
        <v>684</v>
      </c>
      <c r="D22">
        <v>37.435606701487302</v>
      </c>
      <c r="E22">
        <v>126.91706825239299</v>
      </c>
      <c r="F22" t="s">
        <v>564</v>
      </c>
      <c r="G22">
        <v>1</v>
      </c>
      <c r="H22" t="s">
        <v>684</v>
      </c>
      <c r="I22" t="str">
        <f>PROPER("Gyeongin national university of education")</f>
        <v>Gyeongin National University Of Education</v>
      </c>
      <c r="J22" t="s">
        <v>685</v>
      </c>
      <c r="K22" t="s">
        <v>686</v>
      </c>
      <c r="L22" t="s">
        <v>567</v>
      </c>
      <c r="M22" t="s">
        <v>687</v>
      </c>
      <c r="N22" t="s">
        <v>688</v>
      </c>
      <c r="P22">
        <v>352</v>
      </c>
    </row>
    <row r="23" spans="1:16" x14ac:dyDescent="0.45">
      <c r="A23" t="s">
        <v>689</v>
      </c>
      <c r="B23" t="s">
        <v>690</v>
      </c>
      <c r="C23" t="s">
        <v>563</v>
      </c>
      <c r="D23">
        <v>35.911067889559803</v>
      </c>
      <c r="E23">
        <v>128.80204397594349</v>
      </c>
      <c r="F23" t="s">
        <v>572</v>
      </c>
      <c r="G23">
        <v>0</v>
      </c>
      <c r="I23" t="s">
        <v>61</v>
      </c>
      <c r="J23" t="s">
        <v>689</v>
      </c>
      <c r="K23" t="s">
        <v>61</v>
      </c>
      <c r="L23" t="s">
        <v>691</v>
      </c>
      <c r="M23" t="s">
        <v>692</v>
      </c>
      <c r="N23" t="s">
        <v>693</v>
      </c>
    </row>
    <row r="24" spans="1:16" x14ac:dyDescent="0.45">
      <c r="A24" t="s">
        <v>62</v>
      </c>
      <c r="B24" t="s">
        <v>608</v>
      </c>
      <c r="C24" t="s">
        <v>608</v>
      </c>
      <c r="D24">
        <v>37.593949498581637</v>
      </c>
      <c r="E24">
        <v>127.0548901889417</v>
      </c>
      <c r="F24" t="s">
        <v>564</v>
      </c>
      <c r="G24">
        <v>1</v>
      </c>
      <c r="H24" t="s">
        <v>608</v>
      </c>
      <c r="I24" t="s">
        <v>65</v>
      </c>
      <c r="J24" t="s">
        <v>694</v>
      </c>
      <c r="K24" t="s">
        <v>695</v>
      </c>
      <c r="L24" t="s">
        <v>612</v>
      </c>
      <c r="M24" t="s">
        <v>696</v>
      </c>
      <c r="N24" t="s">
        <v>697</v>
      </c>
      <c r="P24">
        <v>1497</v>
      </c>
    </row>
    <row r="25" spans="1:16" x14ac:dyDescent="0.45">
      <c r="A25" t="s">
        <v>62</v>
      </c>
      <c r="B25" t="s">
        <v>562</v>
      </c>
      <c r="C25" t="s">
        <v>698</v>
      </c>
      <c r="D25">
        <v>37.239801580802137</v>
      </c>
      <c r="E25">
        <v>127.081197910657</v>
      </c>
      <c r="F25" t="s">
        <v>564</v>
      </c>
      <c r="G25">
        <v>1</v>
      </c>
      <c r="H25" t="s">
        <v>699</v>
      </c>
      <c r="I25" t="s">
        <v>65</v>
      </c>
      <c r="J25" t="s">
        <v>700</v>
      </c>
      <c r="K25" t="s">
        <v>701</v>
      </c>
      <c r="L25" t="s">
        <v>567</v>
      </c>
      <c r="M25" t="s">
        <v>702</v>
      </c>
      <c r="N25" t="s">
        <v>703</v>
      </c>
      <c r="P25">
        <v>1084</v>
      </c>
    </row>
    <row r="26" spans="1:16" x14ac:dyDescent="0.45">
      <c r="A26" t="s">
        <v>66</v>
      </c>
      <c r="B26" t="s">
        <v>641</v>
      </c>
      <c r="C26" t="s">
        <v>563</v>
      </c>
      <c r="D26">
        <v>35.854530855509893</v>
      </c>
      <c r="E26">
        <v>128.48901491560949</v>
      </c>
      <c r="F26" t="s">
        <v>572</v>
      </c>
      <c r="G26">
        <v>0</v>
      </c>
      <c r="I26" t="s">
        <v>69</v>
      </c>
      <c r="J26" t="s">
        <v>704</v>
      </c>
      <c r="K26" t="s">
        <v>705</v>
      </c>
      <c r="L26" t="s">
        <v>645</v>
      </c>
      <c r="M26" t="s">
        <v>706</v>
      </c>
      <c r="N26" t="s">
        <v>707</v>
      </c>
    </row>
    <row r="27" spans="1:16" x14ac:dyDescent="0.45">
      <c r="A27" t="s">
        <v>66</v>
      </c>
      <c r="B27" t="s">
        <v>641</v>
      </c>
      <c r="C27" t="s">
        <v>708</v>
      </c>
      <c r="D27">
        <v>35.856326649182087</v>
      </c>
      <c r="E27">
        <v>128.57982837540541</v>
      </c>
      <c r="F27" t="s">
        <v>572</v>
      </c>
      <c r="G27">
        <v>0</v>
      </c>
      <c r="H27" t="s">
        <v>708</v>
      </c>
      <c r="I27" t="s">
        <v>69</v>
      </c>
      <c r="J27" t="s">
        <v>709</v>
      </c>
      <c r="K27" t="s">
        <v>710</v>
      </c>
      <c r="L27" t="s">
        <v>645</v>
      </c>
      <c r="M27" t="s">
        <v>711</v>
      </c>
      <c r="N27" t="s">
        <v>712</v>
      </c>
      <c r="O27" t="s">
        <v>713</v>
      </c>
    </row>
    <row r="28" spans="1:16" x14ac:dyDescent="0.45">
      <c r="A28" t="s">
        <v>70</v>
      </c>
      <c r="B28" t="s">
        <v>641</v>
      </c>
      <c r="C28" t="s">
        <v>563</v>
      </c>
      <c r="D28">
        <v>35.859006099999903</v>
      </c>
      <c r="E28">
        <v>128.49102619999999</v>
      </c>
      <c r="F28" t="s">
        <v>572</v>
      </c>
      <c r="G28">
        <v>0</v>
      </c>
      <c r="I28" t="str">
        <f>PROPER("KEIMYUNG COLLEGE UNIVERSITY")</f>
        <v>Keimyung College University</v>
      </c>
      <c r="J28" t="s">
        <v>70</v>
      </c>
      <c r="K28" t="s">
        <v>714</v>
      </c>
      <c r="L28" t="s">
        <v>645</v>
      </c>
      <c r="M28" t="s">
        <v>715</v>
      </c>
      <c r="N28" t="s">
        <v>716</v>
      </c>
    </row>
    <row r="29" spans="1:16" x14ac:dyDescent="0.45">
      <c r="A29" t="s">
        <v>75</v>
      </c>
      <c r="B29" t="s">
        <v>608</v>
      </c>
      <c r="C29" t="s">
        <v>609</v>
      </c>
      <c r="D29">
        <v>37.588703422400002</v>
      </c>
      <c r="E29">
        <v>127.031698105</v>
      </c>
      <c r="F29" t="s">
        <v>564</v>
      </c>
      <c r="G29">
        <v>1</v>
      </c>
      <c r="H29" t="s">
        <v>609</v>
      </c>
      <c r="I29" t="str">
        <f>PROPER("KOREA UNIVERSITY")</f>
        <v>Korea University</v>
      </c>
      <c r="J29" t="s">
        <v>717</v>
      </c>
      <c r="K29" t="s">
        <v>718</v>
      </c>
      <c r="L29" t="s">
        <v>612</v>
      </c>
      <c r="M29" t="s">
        <v>719</v>
      </c>
      <c r="N29" t="s">
        <v>720</v>
      </c>
      <c r="P29">
        <v>3533</v>
      </c>
    </row>
    <row r="30" spans="1:16" x14ac:dyDescent="0.45">
      <c r="A30" t="s">
        <v>75</v>
      </c>
      <c r="B30" t="s">
        <v>721</v>
      </c>
      <c r="C30" t="s">
        <v>722</v>
      </c>
      <c r="D30">
        <v>36.610896799999999</v>
      </c>
      <c r="E30">
        <v>127.28646759999999</v>
      </c>
      <c r="F30" t="s">
        <v>564</v>
      </c>
      <c r="G30">
        <v>1</v>
      </c>
      <c r="H30" t="s">
        <v>722</v>
      </c>
      <c r="I30" t="str">
        <f>PROPER("KOREA UNIVERSITY")</f>
        <v>Korea University</v>
      </c>
      <c r="J30" t="s">
        <v>723</v>
      </c>
      <c r="K30" t="s">
        <v>724</v>
      </c>
      <c r="L30" t="s">
        <v>725</v>
      </c>
      <c r="M30" t="s">
        <v>726</v>
      </c>
      <c r="N30" t="s">
        <v>727</v>
      </c>
      <c r="P30">
        <v>686</v>
      </c>
    </row>
    <row r="31" spans="1:16" x14ac:dyDescent="0.45">
      <c r="A31" t="s">
        <v>80</v>
      </c>
      <c r="B31" t="s">
        <v>622</v>
      </c>
      <c r="C31" t="s">
        <v>563</v>
      </c>
      <c r="D31">
        <v>36.445202746742673</v>
      </c>
      <c r="E31">
        <v>127.11965530667651</v>
      </c>
      <c r="F31" t="s">
        <v>564</v>
      </c>
      <c r="G31">
        <v>1</v>
      </c>
      <c r="I31" t="str">
        <f>PROPER("Gongju National University of Education")</f>
        <v>Gongju National University Of Education</v>
      </c>
      <c r="J31" t="s">
        <v>728</v>
      </c>
      <c r="K31" t="s">
        <v>84</v>
      </c>
      <c r="L31" t="s">
        <v>626</v>
      </c>
      <c r="M31" t="s">
        <v>729</v>
      </c>
      <c r="N31" t="s">
        <v>730</v>
      </c>
      <c r="P31">
        <v>324</v>
      </c>
    </row>
    <row r="32" spans="1:16" x14ac:dyDescent="0.45">
      <c r="A32" t="s">
        <v>85</v>
      </c>
      <c r="B32" t="s">
        <v>629</v>
      </c>
      <c r="C32" t="s">
        <v>85</v>
      </c>
      <c r="D32">
        <v>36.384908126012</v>
      </c>
      <c r="E32">
        <v>127.367622966026</v>
      </c>
      <c r="F32" t="s">
        <v>564</v>
      </c>
      <c r="G32">
        <v>1</v>
      </c>
      <c r="H32" t="s">
        <v>85</v>
      </c>
      <c r="I32" t="s">
        <v>88</v>
      </c>
      <c r="J32" t="s">
        <v>85</v>
      </c>
      <c r="K32" t="s">
        <v>731</v>
      </c>
      <c r="L32" t="s">
        <v>632</v>
      </c>
      <c r="M32" t="s">
        <v>732</v>
      </c>
      <c r="N32" t="s">
        <v>733</v>
      </c>
    </row>
    <row r="33" spans="1:16" x14ac:dyDescent="0.45">
      <c r="A33" t="s">
        <v>89</v>
      </c>
      <c r="B33" t="s">
        <v>734</v>
      </c>
      <c r="C33" t="s">
        <v>563</v>
      </c>
      <c r="D33">
        <v>35.164714678351118</v>
      </c>
      <c r="E33">
        <v>126.9256988110379</v>
      </c>
      <c r="F33" t="s">
        <v>572</v>
      </c>
      <c r="G33">
        <v>0</v>
      </c>
      <c r="I33" t="s">
        <v>92</v>
      </c>
      <c r="J33" t="s">
        <v>735</v>
      </c>
      <c r="K33" t="s">
        <v>92</v>
      </c>
      <c r="L33" t="s">
        <v>736</v>
      </c>
      <c r="M33" t="s">
        <v>737</v>
      </c>
      <c r="N33" t="s">
        <v>738</v>
      </c>
    </row>
    <row r="34" spans="1:16" x14ac:dyDescent="0.45">
      <c r="A34" t="s">
        <v>93</v>
      </c>
      <c r="B34" t="s">
        <v>734</v>
      </c>
      <c r="C34" t="s">
        <v>563</v>
      </c>
      <c r="D34">
        <v>35.10590247906741</v>
      </c>
      <c r="E34">
        <v>126.8961680714184</v>
      </c>
      <c r="F34" t="s">
        <v>564</v>
      </c>
      <c r="G34">
        <v>1</v>
      </c>
      <c r="I34" t="s">
        <v>97</v>
      </c>
      <c r="J34" t="s">
        <v>93</v>
      </c>
      <c r="K34" t="s">
        <v>97</v>
      </c>
      <c r="L34" t="s">
        <v>736</v>
      </c>
      <c r="M34" t="s">
        <v>739</v>
      </c>
      <c r="N34" t="s">
        <v>740</v>
      </c>
      <c r="P34">
        <v>45</v>
      </c>
    </row>
    <row r="35" spans="1:16" x14ac:dyDescent="0.45">
      <c r="A35" t="s">
        <v>98</v>
      </c>
      <c r="B35" t="s">
        <v>734</v>
      </c>
      <c r="C35" t="s">
        <v>563</v>
      </c>
      <c r="D35">
        <v>35.191970589022908</v>
      </c>
      <c r="E35">
        <v>126.84466341974171</v>
      </c>
      <c r="F35" t="s">
        <v>564</v>
      </c>
      <c r="G35">
        <v>1</v>
      </c>
      <c r="I35" t="s">
        <v>102</v>
      </c>
      <c r="J35" t="s">
        <v>98</v>
      </c>
      <c r="K35" t="s">
        <v>102</v>
      </c>
      <c r="L35" t="s">
        <v>736</v>
      </c>
      <c r="M35" t="s">
        <v>741</v>
      </c>
      <c r="N35" t="s">
        <v>742</v>
      </c>
      <c r="P35">
        <v>1</v>
      </c>
    </row>
    <row r="36" spans="1:16" x14ac:dyDescent="0.45">
      <c r="A36" t="s">
        <v>103</v>
      </c>
      <c r="B36" t="s">
        <v>734</v>
      </c>
      <c r="C36" t="s">
        <v>563</v>
      </c>
      <c r="D36">
        <v>35.163167488924373</v>
      </c>
      <c r="E36">
        <v>126.7964100307687</v>
      </c>
      <c r="F36" t="s">
        <v>572</v>
      </c>
      <c r="G36">
        <v>0</v>
      </c>
      <c r="I36" t="s">
        <v>106</v>
      </c>
      <c r="J36" t="s">
        <v>103</v>
      </c>
      <c r="K36" t="s">
        <v>106</v>
      </c>
      <c r="L36" t="s">
        <v>736</v>
      </c>
      <c r="M36" t="s">
        <v>743</v>
      </c>
      <c r="N36" t="s">
        <v>744</v>
      </c>
    </row>
    <row r="37" spans="1:16" x14ac:dyDescent="0.45">
      <c r="A37" t="s">
        <v>107</v>
      </c>
      <c r="B37" t="s">
        <v>622</v>
      </c>
      <c r="C37" t="s">
        <v>563</v>
      </c>
      <c r="D37">
        <v>36.468962699999999</v>
      </c>
      <c r="E37">
        <v>127.1408071</v>
      </c>
      <c r="F37" t="s">
        <v>572</v>
      </c>
      <c r="G37">
        <v>0</v>
      </c>
      <c r="I37" t="s">
        <v>111</v>
      </c>
      <c r="J37" t="s">
        <v>745</v>
      </c>
      <c r="K37" t="s">
        <v>746</v>
      </c>
      <c r="L37" t="s">
        <v>626</v>
      </c>
      <c r="M37" t="s">
        <v>747</v>
      </c>
      <c r="N37" t="s">
        <v>748</v>
      </c>
      <c r="O37" t="s">
        <v>749</v>
      </c>
    </row>
    <row r="38" spans="1:16" x14ac:dyDescent="0.45">
      <c r="A38" t="s">
        <v>107</v>
      </c>
      <c r="B38" t="s">
        <v>622</v>
      </c>
      <c r="C38" t="s">
        <v>750</v>
      </c>
      <c r="D38">
        <v>36.850840138925143</v>
      </c>
      <c r="E38">
        <v>127.1510204551376</v>
      </c>
      <c r="F38" t="s">
        <v>572</v>
      </c>
      <c r="G38">
        <v>0</v>
      </c>
      <c r="H38" t="s">
        <v>750</v>
      </c>
      <c r="I38" t="s">
        <v>111</v>
      </c>
      <c r="J38" t="s">
        <v>751</v>
      </c>
      <c r="K38" t="s">
        <v>752</v>
      </c>
      <c r="L38" t="s">
        <v>626</v>
      </c>
      <c r="M38" t="s">
        <v>753</v>
      </c>
      <c r="N38" t="s">
        <v>754</v>
      </c>
      <c r="O38" t="s">
        <v>749</v>
      </c>
    </row>
    <row r="39" spans="1:16" x14ac:dyDescent="0.45">
      <c r="A39" t="s">
        <v>107</v>
      </c>
      <c r="B39" t="s">
        <v>622</v>
      </c>
      <c r="C39" t="s">
        <v>755</v>
      </c>
      <c r="D39">
        <v>36.669768203331699</v>
      </c>
      <c r="E39">
        <v>126.85947739448601</v>
      </c>
      <c r="F39" t="s">
        <v>572</v>
      </c>
      <c r="G39">
        <v>0</v>
      </c>
      <c r="H39" t="s">
        <v>755</v>
      </c>
      <c r="I39" t="s">
        <v>111</v>
      </c>
      <c r="J39" t="s">
        <v>756</v>
      </c>
      <c r="K39" t="s">
        <v>757</v>
      </c>
      <c r="L39" t="s">
        <v>626</v>
      </c>
      <c r="M39" t="s">
        <v>758</v>
      </c>
      <c r="N39" t="s">
        <v>759</v>
      </c>
      <c r="O39" t="s">
        <v>749</v>
      </c>
    </row>
    <row r="40" spans="1:16" x14ac:dyDescent="0.45">
      <c r="A40" t="s">
        <v>112</v>
      </c>
      <c r="B40" t="s">
        <v>615</v>
      </c>
      <c r="C40" t="s">
        <v>760</v>
      </c>
      <c r="D40">
        <v>36.968846338495133</v>
      </c>
      <c r="E40">
        <v>127.87276955585639</v>
      </c>
      <c r="F40" t="s">
        <v>572</v>
      </c>
      <c r="G40">
        <v>0</v>
      </c>
      <c r="H40" t="s">
        <v>760</v>
      </c>
      <c r="I40" t="str">
        <f>PROPER("Korea National University of Transportation")</f>
        <v>Korea National University Of Transportation</v>
      </c>
      <c r="J40" t="s">
        <v>761</v>
      </c>
      <c r="K40" t="s">
        <v>762</v>
      </c>
      <c r="L40" t="s">
        <v>619</v>
      </c>
      <c r="M40" t="s">
        <v>763</v>
      </c>
      <c r="N40" t="s">
        <v>764</v>
      </c>
      <c r="O40" t="s">
        <v>765</v>
      </c>
    </row>
    <row r="41" spans="1:16" x14ac:dyDescent="0.45">
      <c r="A41" t="s">
        <v>112</v>
      </c>
      <c r="B41" t="s">
        <v>615</v>
      </c>
      <c r="C41" t="s">
        <v>766</v>
      </c>
      <c r="D41">
        <v>36.768556244067199</v>
      </c>
      <c r="E41">
        <v>127.6240460272947</v>
      </c>
      <c r="F41" t="s">
        <v>572</v>
      </c>
      <c r="G41">
        <v>0</v>
      </c>
      <c r="H41" t="s">
        <v>766</v>
      </c>
      <c r="I41" t="str">
        <f>PROPER("Korea National University of Transportation")</f>
        <v>Korea National University Of Transportation</v>
      </c>
      <c r="J41" t="s">
        <v>767</v>
      </c>
      <c r="K41" t="s">
        <v>768</v>
      </c>
      <c r="L41" t="s">
        <v>619</v>
      </c>
      <c r="M41" t="s">
        <v>769</v>
      </c>
      <c r="N41" t="s">
        <v>770</v>
      </c>
      <c r="O41" t="s">
        <v>765</v>
      </c>
    </row>
    <row r="42" spans="1:16" x14ac:dyDescent="0.45">
      <c r="A42" t="s">
        <v>112</v>
      </c>
      <c r="B42" t="s">
        <v>562</v>
      </c>
      <c r="C42" t="s">
        <v>771</v>
      </c>
      <c r="D42">
        <v>37.315810823528373</v>
      </c>
      <c r="E42">
        <v>126.9545633961425</v>
      </c>
      <c r="F42" t="s">
        <v>572</v>
      </c>
      <c r="G42">
        <v>0</v>
      </c>
      <c r="H42" t="s">
        <v>771</v>
      </c>
      <c r="I42" t="str">
        <f>PROPER("Korea National University of Transportation")</f>
        <v>Korea National University Of Transportation</v>
      </c>
      <c r="J42" t="s">
        <v>772</v>
      </c>
      <c r="K42" t="s">
        <v>773</v>
      </c>
      <c r="L42" t="s">
        <v>567</v>
      </c>
      <c r="M42" t="s">
        <v>774</v>
      </c>
      <c r="N42" t="s">
        <v>775</v>
      </c>
      <c r="O42" t="s">
        <v>765</v>
      </c>
    </row>
    <row r="43" spans="1:16" x14ac:dyDescent="0.45">
      <c r="A43" t="s">
        <v>117</v>
      </c>
      <c r="B43" t="s">
        <v>629</v>
      </c>
      <c r="C43" t="s">
        <v>776</v>
      </c>
      <c r="D43">
        <v>36.428349037781302</v>
      </c>
      <c r="E43">
        <v>127.39578868429101</v>
      </c>
      <c r="F43" t="s">
        <v>572</v>
      </c>
      <c r="G43">
        <v>0</v>
      </c>
      <c r="H43" t="s">
        <v>776</v>
      </c>
      <c r="I43" t="str">
        <f>PROPER("HANBAT NATIONAL UNIVERSITY")</f>
        <v>Hanbat National University</v>
      </c>
      <c r="J43" t="s">
        <v>777</v>
      </c>
      <c r="K43" t="s">
        <v>778</v>
      </c>
      <c r="L43" t="s">
        <v>632</v>
      </c>
      <c r="M43" t="s">
        <v>779</v>
      </c>
      <c r="N43" t="s">
        <v>780</v>
      </c>
    </row>
    <row r="44" spans="1:16" x14ac:dyDescent="0.45">
      <c r="A44" t="s">
        <v>117</v>
      </c>
      <c r="B44" t="s">
        <v>629</v>
      </c>
      <c r="C44" t="s">
        <v>781</v>
      </c>
      <c r="D44">
        <v>36.348794386157401</v>
      </c>
      <c r="E44">
        <v>127.30056223001201</v>
      </c>
      <c r="F44" t="s">
        <v>564</v>
      </c>
      <c r="G44">
        <v>1</v>
      </c>
      <c r="H44" t="s">
        <v>781</v>
      </c>
      <c r="I44" t="str">
        <f>PROPER("HANBAT NATIONAL UNIVERSITY")</f>
        <v>Hanbat National University</v>
      </c>
      <c r="J44" t="s">
        <v>782</v>
      </c>
      <c r="K44" t="s">
        <v>783</v>
      </c>
      <c r="L44" t="s">
        <v>632</v>
      </c>
      <c r="M44" t="s">
        <v>784</v>
      </c>
      <c r="N44" t="s">
        <v>785</v>
      </c>
      <c r="P44">
        <v>1468</v>
      </c>
    </row>
    <row r="45" spans="1:16" x14ac:dyDescent="0.45">
      <c r="A45" t="s">
        <v>122</v>
      </c>
      <c r="B45" t="s">
        <v>608</v>
      </c>
      <c r="C45" t="s">
        <v>563</v>
      </c>
      <c r="D45">
        <v>37.610288203499998</v>
      </c>
      <c r="E45">
        <v>126.998523136</v>
      </c>
      <c r="F45" t="s">
        <v>564</v>
      </c>
      <c r="G45">
        <v>1</v>
      </c>
      <c r="I45" t="str">
        <f>PROPER("KOOKMIN UNIVERSITY")</f>
        <v>Kookmin University</v>
      </c>
      <c r="J45" t="s">
        <v>786</v>
      </c>
      <c r="K45" t="s">
        <v>787</v>
      </c>
      <c r="L45" t="s">
        <v>612</v>
      </c>
      <c r="M45" t="s">
        <v>788</v>
      </c>
      <c r="N45" t="s">
        <v>789</v>
      </c>
      <c r="P45">
        <v>1156</v>
      </c>
    </row>
    <row r="46" spans="1:16" x14ac:dyDescent="0.45">
      <c r="A46" t="s">
        <v>127</v>
      </c>
      <c r="B46" t="s">
        <v>790</v>
      </c>
      <c r="C46" t="s">
        <v>563</v>
      </c>
      <c r="D46">
        <v>35.950346496292347</v>
      </c>
      <c r="E46">
        <v>126.6803558442133</v>
      </c>
      <c r="F46" t="s">
        <v>564</v>
      </c>
      <c r="G46">
        <v>1</v>
      </c>
      <c r="I46" t="s">
        <v>131</v>
      </c>
      <c r="J46" t="s">
        <v>791</v>
      </c>
      <c r="K46" t="s">
        <v>792</v>
      </c>
      <c r="L46" t="s">
        <v>793</v>
      </c>
      <c r="M46" t="s">
        <v>794</v>
      </c>
      <c r="N46" t="s">
        <v>795</v>
      </c>
      <c r="P46">
        <v>1352</v>
      </c>
    </row>
    <row r="47" spans="1:16" x14ac:dyDescent="0.45">
      <c r="A47" t="s">
        <v>127</v>
      </c>
      <c r="B47" t="s">
        <v>790</v>
      </c>
      <c r="C47" t="s">
        <v>796</v>
      </c>
      <c r="D47">
        <v>35.961698043686098</v>
      </c>
      <c r="E47">
        <v>126.559649362135</v>
      </c>
      <c r="F47" t="s">
        <v>564</v>
      </c>
      <c r="G47">
        <v>1</v>
      </c>
      <c r="H47" t="s">
        <v>796</v>
      </c>
      <c r="I47" t="s">
        <v>131</v>
      </c>
      <c r="J47" t="s">
        <v>797</v>
      </c>
      <c r="K47" t="s">
        <v>798</v>
      </c>
      <c r="L47" t="s">
        <v>793</v>
      </c>
      <c r="M47" t="s">
        <v>794</v>
      </c>
      <c r="N47" t="s">
        <v>795</v>
      </c>
      <c r="O47" t="s">
        <v>799</v>
      </c>
      <c r="P47">
        <v>48</v>
      </c>
    </row>
    <row r="48" spans="1:16" x14ac:dyDescent="0.45">
      <c r="A48" t="s">
        <v>132</v>
      </c>
      <c r="B48" t="s">
        <v>690</v>
      </c>
      <c r="C48" t="s">
        <v>563</v>
      </c>
      <c r="D48">
        <v>36.145631320774868</v>
      </c>
      <c r="E48">
        <v>128.38788389395111</v>
      </c>
      <c r="F48" t="s">
        <v>564</v>
      </c>
      <c r="G48">
        <v>1</v>
      </c>
      <c r="I48" t="str">
        <f>PROPER("Kumoh National Institute of Technology")</f>
        <v>Kumoh National Institute Of Technology</v>
      </c>
      <c r="J48" t="s">
        <v>800</v>
      </c>
      <c r="K48" t="s">
        <v>801</v>
      </c>
      <c r="L48" t="s">
        <v>691</v>
      </c>
      <c r="M48" t="s">
        <v>802</v>
      </c>
      <c r="N48" t="s">
        <v>803</v>
      </c>
      <c r="P48">
        <v>315</v>
      </c>
    </row>
    <row r="49" spans="1:16" x14ac:dyDescent="0.45">
      <c r="A49" t="s">
        <v>132</v>
      </c>
      <c r="B49" t="s">
        <v>690</v>
      </c>
      <c r="C49" t="s">
        <v>804</v>
      </c>
      <c r="D49">
        <v>36.119209306640272</v>
      </c>
      <c r="E49">
        <v>128.36568952091369</v>
      </c>
      <c r="F49" t="s">
        <v>572</v>
      </c>
      <c r="G49">
        <v>0</v>
      </c>
      <c r="H49" t="s">
        <v>804</v>
      </c>
      <c r="I49" t="str">
        <f>PROPER("Kumoh National Institute of Technology")</f>
        <v>Kumoh National Institute Of Technology</v>
      </c>
      <c r="J49" t="s">
        <v>805</v>
      </c>
      <c r="K49" t="s">
        <v>806</v>
      </c>
      <c r="L49" t="s">
        <v>691</v>
      </c>
      <c r="M49" t="s">
        <v>802</v>
      </c>
      <c r="N49" t="s">
        <v>803</v>
      </c>
    </row>
    <row r="50" spans="1:16" x14ac:dyDescent="0.45">
      <c r="A50" t="s">
        <v>137</v>
      </c>
      <c r="B50" t="s">
        <v>622</v>
      </c>
      <c r="C50" t="s">
        <v>563</v>
      </c>
      <c r="D50">
        <v>36.798348610477568</v>
      </c>
      <c r="E50">
        <v>127.11947624089601</v>
      </c>
      <c r="F50" t="s">
        <v>564</v>
      </c>
      <c r="G50">
        <v>1</v>
      </c>
      <c r="I50" t="s">
        <v>141</v>
      </c>
      <c r="J50" t="s">
        <v>137</v>
      </c>
      <c r="K50" t="s">
        <v>141</v>
      </c>
      <c r="L50" t="s">
        <v>626</v>
      </c>
      <c r="M50" t="s">
        <v>807</v>
      </c>
      <c r="N50" t="s">
        <v>808</v>
      </c>
      <c r="P50">
        <v>486</v>
      </c>
    </row>
    <row r="51" spans="1:16" x14ac:dyDescent="0.45">
      <c r="A51" t="s">
        <v>142</v>
      </c>
      <c r="B51" t="s">
        <v>734</v>
      </c>
      <c r="C51" t="s">
        <v>563</v>
      </c>
      <c r="D51">
        <v>35.207060899601501</v>
      </c>
      <c r="E51">
        <v>126.842258172223</v>
      </c>
      <c r="F51" t="s">
        <v>564</v>
      </c>
      <c r="G51">
        <v>1</v>
      </c>
      <c r="I51" t="s">
        <v>146</v>
      </c>
      <c r="J51" t="s">
        <v>142</v>
      </c>
      <c r="K51" t="s">
        <v>146</v>
      </c>
      <c r="L51" t="s">
        <v>736</v>
      </c>
      <c r="M51" t="s">
        <v>809</v>
      </c>
      <c r="N51" t="s">
        <v>810</v>
      </c>
      <c r="P51">
        <v>111</v>
      </c>
    </row>
    <row r="52" spans="1:16" x14ac:dyDescent="0.45">
      <c r="A52" t="s">
        <v>147</v>
      </c>
      <c r="B52" t="s">
        <v>562</v>
      </c>
      <c r="C52" t="s">
        <v>811</v>
      </c>
      <c r="D52">
        <v>37.321193874754101</v>
      </c>
      <c r="E52">
        <v>127.13253593519499</v>
      </c>
      <c r="F52" t="s">
        <v>564</v>
      </c>
      <c r="G52">
        <v>1</v>
      </c>
      <c r="H52" t="s">
        <v>811</v>
      </c>
      <c r="I52" t="s">
        <v>151</v>
      </c>
      <c r="J52" t="s">
        <v>812</v>
      </c>
      <c r="K52" t="s">
        <v>813</v>
      </c>
      <c r="L52" t="s">
        <v>567</v>
      </c>
      <c r="M52" t="s">
        <v>814</v>
      </c>
      <c r="N52" t="s">
        <v>815</v>
      </c>
      <c r="P52">
        <v>2812</v>
      </c>
    </row>
    <row r="53" spans="1:16" x14ac:dyDescent="0.45">
      <c r="A53" t="s">
        <v>147</v>
      </c>
      <c r="B53" t="s">
        <v>622</v>
      </c>
      <c r="C53" t="s">
        <v>816</v>
      </c>
      <c r="D53">
        <v>36.835952485256598</v>
      </c>
      <c r="E53">
        <v>127.165213408735</v>
      </c>
      <c r="F53" t="s">
        <v>564</v>
      </c>
      <c r="G53">
        <v>1</v>
      </c>
      <c r="H53" t="s">
        <v>816</v>
      </c>
      <c r="I53" t="s">
        <v>151</v>
      </c>
      <c r="J53" t="s">
        <v>817</v>
      </c>
      <c r="K53" t="s">
        <v>818</v>
      </c>
      <c r="L53" t="s">
        <v>626</v>
      </c>
      <c r="M53" t="s">
        <v>819</v>
      </c>
      <c r="N53" t="s">
        <v>820</v>
      </c>
    </row>
    <row r="54" spans="1:16" x14ac:dyDescent="0.45">
      <c r="A54" t="s">
        <v>152</v>
      </c>
      <c r="B54" t="s">
        <v>690</v>
      </c>
      <c r="C54" t="s">
        <v>563</v>
      </c>
      <c r="D54">
        <v>35.908967113843403</v>
      </c>
      <c r="E54">
        <v>128.807422033769</v>
      </c>
      <c r="F54" t="s">
        <v>572</v>
      </c>
      <c r="G54">
        <v>0</v>
      </c>
      <c r="I54" t="s">
        <v>155</v>
      </c>
      <c r="J54" t="s">
        <v>821</v>
      </c>
      <c r="K54" t="s">
        <v>822</v>
      </c>
      <c r="L54" t="s">
        <v>691</v>
      </c>
      <c r="M54" t="s">
        <v>823</v>
      </c>
      <c r="N54" t="s">
        <v>824</v>
      </c>
    </row>
    <row r="55" spans="1:16" x14ac:dyDescent="0.45">
      <c r="A55" t="s">
        <v>157</v>
      </c>
      <c r="B55" t="s">
        <v>641</v>
      </c>
      <c r="C55" t="s">
        <v>563</v>
      </c>
      <c r="D55">
        <v>35.705637757232097</v>
      </c>
      <c r="E55">
        <v>128.455010688046</v>
      </c>
      <c r="F55" t="s">
        <v>564</v>
      </c>
      <c r="G55">
        <v>1</v>
      </c>
      <c r="I55" t="s">
        <v>825</v>
      </c>
      <c r="J55" t="s">
        <v>826</v>
      </c>
      <c r="K55" t="s">
        <v>825</v>
      </c>
      <c r="L55" t="s">
        <v>645</v>
      </c>
      <c r="M55" t="s">
        <v>827</v>
      </c>
      <c r="N55" t="s">
        <v>828</v>
      </c>
      <c r="P55">
        <v>759</v>
      </c>
    </row>
    <row r="56" spans="1:16" x14ac:dyDescent="0.45">
      <c r="A56" t="s">
        <v>161</v>
      </c>
      <c r="B56" t="s">
        <v>641</v>
      </c>
      <c r="C56" t="s">
        <v>563</v>
      </c>
      <c r="D56">
        <v>35.85143181717411</v>
      </c>
      <c r="E56">
        <v>128.58774070320851</v>
      </c>
      <c r="F56" t="s">
        <v>572</v>
      </c>
      <c r="G56">
        <v>0</v>
      </c>
      <c r="I56" t="s">
        <v>165</v>
      </c>
      <c r="J56" t="s">
        <v>829</v>
      </c>
      <c r="K56" t="s">
        <v>165</v>
      </c>
      <c r="L56" t="s">
        <v>645</v>
      </c>
      <c r="M56" t="s">
        <v>830</v>
      </c>
      <c r="N56" t="s">
        <v>831</v>
      </c>
    </row>
    <row r="57" spans="1:16" x14ac:dyDescent="0.45">
      <c r="A57" t="s">
        <v>166</v>
      </c>
      <c r="B57" t="s">
        <v>690</v>
      </c>
      <c r="C57" t="s">
        <v>832</v>
      </c>
      <c r="D57">
        <v>35.904537693999998</v>
      </c>
      <c r="E57">
        <v>128.84281445299999</v>
      </c>
      <c r="F57" t="s">
        <v>564</v>
      </c>
      <c r="G57">
        <v>1</v>
      </c>
      <c r="H57" t="s">
        <v>832</v>
      </c>
      <c r="I57" t="s">
        <v>170</v>
      </c>
      <c r="J57" t="s">
        <v>833</v>
      </c>
      <c r="K57" t="s">
        <v>834</v>
      </c>
      <c r="L57" t="s">
        <v>691</v>
      </c>
      <c r="M57" t="s">
        <v>835</v>
      </c>
      <c r="N57" t="s">
        <v>836</v>
      </c>
      <c r="P57">
        <v>1513</v>
      </c>
    </row>
    <row r="58" spans="1:16" x14ac:dyDescent="0.45">
      <c r="A58" t="s">
        <v>171</v>
      </c>
      <c r="B58" t="s">
        <v>629</v>
      </c>
      <c r="C58" t="s">
        <v>563</v>
      </c>
      <c r="D58">
        <v>36.336696167798998</v>
      </c>
      <c r="E58">
        <v>127.459001869396</v>
      </c>
      <c r="F58" t="s">
        <v>564</v>
      </c>
      <c r="G58">
        <v>1</v>
      </c>
      <c r="I58" t="s">
        <v>175</v>
      </c>
      <c r="J58" t="s">
        <v>171</v>
      </c>
      <c r="K58" t="s">
        <v>175</v>
      </c>
      <c r="L58" t="s">
        <v>632</v>
      </c>
      <c r="M58" t="s">
        <v>837</v>
      </c>
      <c r="N58" t="s">
        <v>838</v>
      </c>
      <c r="P58">
        <v>1329</v>
      </c>
    </row>
    <row r="59" spans="1:16" x14ac:dyDescent="0.45">
      <c r="A59" t="s">
        <v>176</v>
      </c>
      <c r="B59" t="s">
        <v>562</v>
      </c>
      <c r="C59" t="s">
        <v>563</v>
      </c>
      <c r="D59">
        <v>37.873809945388309</v>
      </c>
      <c r="E59">
        <v>127.157553556389</v>
      </c>
      <c r="F59" t="s">
        <v>564</v>
      </c>
      <c r="G59">
        <v>1</v>
      </c>
      <c r="I59" t="str">
        <f>PROPER("DAEJIN UNIVERSITY")</f>
        <v>Daejin University</v>
      </c>
      <c r="J59" t="s">
        <v>176</v>
      </c>
      <c r="K59" t="s">
        <v>839</v>
      </c>
      <c r="L59" t="s">
        <v>567</v>
      </c>
      <c r="M59" t="s">
        <v>840</v>
      </c>
      <c r="N59" t="s">
        <v>841</v>
      </c>
      <c r="P59">
        <v>736</v>
      </c>
    </row>
    <row r="60" spans="1:16" x14ac:dyDescent="0.45">
      <c r="A60" t="s">
        <v>180</v>
      </c>
      <c r="B60" t="s">
        <v>608</v>
      </c>
      <c r="C60" t="s">
        <v>563</v>
      </c>
      <c r="D60">
        <v>37.558178350799999</v>
      </c>
      <c r="E60">
        <v>126.998003549</v>
      </c>
      <c r="F60" t="s">
        <v>564</v>
      </c>
      <c r="G60">
        <v>1</v>
      </c>
      <c r="I60" t="str">
        <f>PROPER("DONGGUK UNIVERSITY")</f>
        <v>Dongguk University</v>
      </c>
      <c r="J60" t="s">
        <v>842</v>
      </c>
      <c r="K60" t="s">
        <v>843</v>
      </c>
      <c r="L60" t="s">
        <v>612</v>
      </c>
      <c r="M60" t="s">
        <v>844</v>
      </c>
      <c r="N60" t="s">
        <v>845</v>
      </c>
      <c r="P60">
        <v>1000</v>
      </c>
    </row>
    <row r="61" spans="1:16" x14ac:dyDescent="0.45">
      <c r="A61" t="s">
        <v>185</v>
      </c>
      <c r="B61" t="s">
        <v>846</v>
      </c>
      <c r="C61" t="s">
        <v>563</v>
      </c>
      <c r="D61">
        <v>35.049624879145099</v>
      </c>
      <c r="E61">
        <v>126.7179925226</v>
      </c>
      <c r="F61" t="s">
        <v>564</v>
      </c>
      <c r="G61">
        <v>1</v>
      </c>
      <c r="I61" t="s">
        <v>188</v>
      </c>
      <c r="J61" t="s">
        <v>185</v>
      </c>
      <c r="K61" t="s">
        <v>188</v>
      </c>
      <c r="L61" t="s">
        <v>847</v>
      </c>
      <c r="M61" t="s">
        <v>848</v>
      </c>
      <c r="N61" t="s">
        <v>849</v>
      </c>
      <c r="P61">
        <v>739</v>
      </c>
    </row>
    <row r="62" spans="1:16" x14ac:dyDescent="0.45">
      <c r="A62" t="s">
        <v>189</v>
      </c>
      <c r="B62" t="s">
        <v>850</v>
      </c>
      <c r="C62" t="s">
        <v>851</v>
      </c>
      <c r="D62">
        <v>35.120001297183038</v>
      </c>
      <c r="E62">
        <v>129.0187420586447</v>
      </c>
      <c r="F62" t="s">
        <v>564</v>
      </c>
      <c r="G62">
        <v>1</v>
      </c>
      <c r="H62" t="s">
        <v>851</v>
      </c>
      <c r="I62" t="s">
        <v>192</v>
      </c>
      <c r="J62" t="s">
        <v>852</v>
      </c>
      <c r="K62" t="s">
        <v>853</v>
      </c>
      <c r="L62" t="s">
        <v>854</v>
      </c>
      <c r="M62" t="s">
        <v>855</v>
      </c>
      <c r="N62" t="s">
        <v>856</v>
      </c>
      <c r="P62">
        <v>35</v>
      </c>
    </row>
    <row r="63" spans="1:16" x14ac:dyDescent="0.45">
      <c r="A63" t="s">
        <v>189</v>
      </c>
      <c r="B63" t="s">
        <v>850</v>
      </c>
      <c r="C63" t="s">
        <v>857</v>
      </c>
      <c r="D63">
        <v>35.118808855897612</v>
      </c>
      <c r="E63">
        <v>128.9680846252763</v>
      </c>
      <c r="F63" t="s">
        <v>564</v>
      </c>
      <c r="G63">
        <v>1</v>
      </c>
      <c r="H63" t="s">
        <v>857</v>
      </c>
      <c r="I63" t="s">
        <v>192</v>
      </c>
      <c r="J63" t="s">
        <v>858</v>
      </c>
      <c r="K63" t="s">
        <v>859</v>
      </c>
      <c r="L63" t="s">
        <v>854</v>
      </c>
      <c r="M63" t="s">
        <v>860</v>
      </c>
      <c r="N63" t="s">
        <v>861</v>
      </c>
      <c r="P63">
        <v>403</v>
      </c>
    </row>
    <row r="64" spans="1:16" x14ac:dyDescent="0.45">
      <c r="A64" t="s">
        <v>189</v>
      </c>
      <c r="B64" t="s">
        <v>850</v>
      </c>
      <c r="C64" t="s">
        <v>862</v>
      </c>
      <c r="D64">
        <v>35.103740071519852</v>
      </c>
      <c r="E64">
        <v>129.0194155452584</v>
      </c>
      <c r="F64" t="s">
        <v>564</v>
      </c>
      <c r="G64">
        <v>1</v>
      </c>
      <c r="H64" t="s">
        <v>862</v>
      </c>
      <c r="I64" t="s">
        <v>192</v>
      </c>
      <c r="J64" t="s">
        <v>863</v>
      </c>
      <c r="K64" t="s">
        <v>864</v>
      </c>
      <c r="L64" t="s">
        <v>854</v>
      </c>
      <c r="M64" t="s">
        <v>865</v>
      </c>
      <c r="N64" t="s">
        <v>866</v>
      </c>
      <c r="O64" t="s">
        <v>867</v>
      </c>
      <c r="P64">
        <v>186</v>
      </c>
    </row>
    <row r="65" spans="1:16" x14ac:dyDescent="0.45">
      <c r="A65" t="s">
        <v>193</v>
      </c>
      <c r="B65" t="s">
        <v>850</v>
      </c>
      <c r="C65" t="s">
        <v>563</v>
      </c>
      <c r="D65">
        <v>35.143721429999999</v>
      </c>
      <c r="E65">
        <v>129.03525362299999</v>
      </c>
      <c r="F65" t="s">
        <v>564</v>
      </c>
      <c r="G65">
        <v>1</v>
      </c>
      <c r="I65" t="s">
        <v>197</v>
      </c>
      <c r="J65" t="s">
        <v>868</v>
      </c>
      <c r="K65" t="s">
        <v>869</v>
      </c>
      <c r="L65" t="s">
        <v>854</v>
      </c>
      <c r="M65" t="s">
        <v>870</v>
      </c>
      <c r="N65" t="s">
        <v>871</v>
      </c>
      <c r="P65">
        <v>499</v>
      </c>
    </row>
    <row r="66" spans="1:16" x14ac:dyDescent="0.45">
      <c r="A66" t="s">
        <v>193</v>
      </c>
      <c r="B66" t="s">
        <v>850</v>
      </c>
      <c r="C66" t="s">
        <v>872</v>
      </c>
      <c r="D66">
        <v>35.169316436800003</v>
      </c>
      <c r="E66">
        <v>129.07738414799999</v>
      </c>
      <c r="F66" t="s">
        <v>564</v>
      </c>
      <c r="G66">
        <v>1</v>
      </c>
      <c r="H66" t="s">
        <v>872</v>
      </c>
      <c r="I66" t="s">
        <v>197</v>
      </c>
      <c r="J66" t="s">
        <v>873</v>
      </c>
      <c r="K66" t="s">
        <v>874</v>
      </c>
      <c r="L66" t="s">
        <v>854</v>
      </c>
      <c r="M66" t="s">
        <v>875</v>
      </c>
      <c r="N66" t="s">
        <v>876</v>
      </c>
      <c r="P66">
        <v>32</v>
      </c>
    </row>
    <row r="67" spans="1:16" x14ac:dyDescent="0.45">
      <c r="A67" t="s">
        <v>198</v>
      </c>
      <c r="B67" t="s">
        <v>846</v>
      </c>
      <c r="C67" t="s">
        <v>563</v>
      </c>
      <c r="D67">
        <v>34.910308891382968</v>
      </c>
      <c r="E67">
        <v>126.44021205346419</v>
      </c>
      <c r="F67" t="s">
        <v>564</v>
      </c>
      <c r="G67">
        <v>1</v>
      </c>
      <c r="I67" t="s">
        <v>202</v>
      </c>
      <c r="J67" t="s">
        <v>877</v>
      </c>
      <c r="K67" t="s">
        <v>202</v>
      </c>
      <c r="L67" t="s">
        <v>847</v>
      </c>
      <c r="M67" t="s">
        <v>878</v>
      </c>
      <c r="N67" t="s">
        <v>879</v>
      </c>
      <c r="P67">
        <v>1640</v>
      </c>
    </row>
    <row r="68" spans="1:16" x14ac:dyDescent="0.45">
      <c r="A68" t="s">
        <v>203</v>
      </c>
      <c r="B68" t="s">
        <v>846</v>
      </c>
      <c r="C68" t="s">
        <v>563</v>
      </c>
      <c r="D68">
        <v>34.79096647867523</v>
      </c>
      <c r="E68">
        <v>126.3627662562169</v>
      </c>
      <c r="F68" t="s">
        <v>564</v>
      </c>
      <c r="G68">
        <v>1</v>
      </c>
      <c r="I68" t="s">
        <v>207</v>
      </c>
      <c r="J68" t="s">
        <v>880</v>
      </c>
      <c r="K68" t="s">
        <v>207</v>
      </c>
      <c r="L68" t="s">
        <v>847</v>
      </c>
      <c r="M68" t="s">
        <v>881</v>
      </c>
      <c r="N68" t="s">
        <v>882</v>
      </c>
      <c r="P68">
        <v>1125</v>
      </c>
    </row>
    <row r="69" spans="1:16" x14ac:dyDescent="0.45">
      <c r="A69" t="s">
        <v>208</v>
      </c>
      <c r="B69" t="s">
        <v>622</v>
      </c>
      <c r="C69" t="s">
        <v>563</v>
      </c>
      <c r="D69">
        <v>36.841348424245098</v>
      </c>
      <c r="E69">
        <v>127.1873754646205</v>
      </c>
      <c r="F69" t="s">
        <v>572</v>
      </c>
      <c r="G69">
        <v>0</v>
      </c>
      <c r="I69" t="s">
        <v>212</v>
      </c>
      <c r="J69" t="s">
        <v>208</v>
      </c>
      <c r="K69" t="s">
        <v>212</v>
      </c>
      <c r="L69" t="s">
        <v>626</v>
      </c>
      <c r="M69" t="s">
        <v>883</v>
      </c>
      <c r="N69" t="s">
        <v>884</v>
      </c>
    </row>
    <row r="70" spans="1:16" x14ac:dyDescent="0.45">
      <c r="A70" t="s">
        <v>208</v>
      </c>
      <c r="B70" t="s">
        <v>622</v>
      </c>
      <c r="C70" t="s">
        <v>885</v>
      </c>
      <c r="D70">
        <v>36.838568965116927</v>
      </c>
      <c r="E70">
        <v>127.18303682733389</v>
      </c>
      <c r="F70" t="s">
        <v>572</v>
      </c>
      <c r="G70">
        <v>0</v>
      </c>
      <c r="H70" t="s">
        <v>885</v>
      </c>
      <c r="I70" t="s">
        <v>886</v>
      </c>
      <c r="J70" t="s">
        <v>885</v>
      </c>
      <c r="K70" t="s">
        <v>886</v>
      </c>
      <c r="L70" t="s">
        <v>626</v>
      </c>
      <c r="M70" t="s">
        <v>887</v>
      </c>
      <c r="N70" t="s">
        <v>888</v>
      </c>
      <c r="O70" t="s">
        <v>889</v>
      </c>
    </row>
    <row r="71" spans="1:16" x14ac:dyDescent="0.45">
      <c r="A71" t="s">
        <v>213</v>
      </c>
      <c r="B71" t="s">
        <v>850</v>
      </c>
      <c r="C71" t="s">
        <v>890</v>
      </c>
      <c r="D71">
        <v>35.134707791909612</v>
      </c>
      <c r="E71">
        <v>129.10787807849019</v>
      </c>
      <c r="F71" t="s">
        <v>564</v>
      </c>
      <c r="G71">
        <v>1</v>
      </c>
      <c r="H71" t="s">
        <v>890</v>
      </c>
      <c r="I71" t="s">
        <v>217</v>
      </c>
      <c r="J71" t="s">
        <v>891</v>
      </c>
      <c r="K71" t="s">
        <v>892</v>
      </c>
      <c r="L71" t="s">
        <v>854</v>
      </c>
      <c r="M71" t="s">
        <v>893</v>
      </c>
      <c r="N71" t="s">
        <v>894</v>
      </c>
      <c r="P71">
        <v>742</v>
      </c>
    </row>
    <row r="72" spans="1:16" x14ac:dyDescent="0.45">
      <c r="A72" t="s">
        <v>213</v>
      </c>
      <c r="B72" t="s">
        <v>850</v>
      </c>
      <c r="C72" t="s">
        <v>895</v>
      </c>
      <c r="D72">
        <v>35.115998389019779</v>
      </c>
      <c r="E72">
        <v>129.08943580317001</v>
      </c>
      <c r="F72" t="s">
        <v>564</v>
      </c>
      <c r="G72">
        <v>1</v>
      </c>
      <c r="H72" t="s">
        <v>895</v>
      </c>
      <c r="I72" t="s">
        <v>217</v>
      </c>
      <c r="J72" t="s">
        <v>896</v>
      </c>
      <c r="K72" t="s">
        <v>897</v>
      </c>
      <c r="L72" t="s">
        <v>854</v>
      </c>
      <c r="M72" t="s">
        <v>898</v>
      </c>
      <c r="N72" t="s">
        <v>899</v>
      </c>
      <c r="P72">
        <v>161</v>
      </c>
    </row>
    <row r="73" spans="1:16" x14ac:dyDescent="0.45">
      <c r="A73" t="s">
        <v>218</v>
      </c>
      <c r="B73" t="s">
        <v>850</v>
      </c>
      <c r="C73" t="s">
        <v>563</v>
      </c>
      <c r="D73">
        <v>35.194937068446002</v>
      </c>
      <c r="E73">
        <v>129.07723288580749</v>
      </c>
      <c r="F73" t="s">
        <v>564</v>
      </c>
      <c r="G73">
        <v>1</v>
      </c>
      <c r="I73" t="s">
        <v>221</v>
      </c>
      <c r="J73" t="s">
        <v>900</v>
      </c>
      <c r="K73" t="s">
        <v>221</v>
      </c>
      <c r="L73" t="s">
        <v>854</v>
      </c>
      <c r="M73" t="s">
        <v>901</v>
      </c>
      <c r="N73" t="s">
        <v>902</v>
      </c>
      <c r="O73" t="s">
        <v>903</v>
      </c>
      <c r="P73">
        <v>278</v>
      </c>
    </row>
    <row r="74" spans="1:16" x14ac:dyDescent="0.45">
      <c r="A74" t="s">
        <v>222</v>
      </c>
      <c r="B74" t="s">
        <v>635</v>
      </c>
      <c r="C74" t="s">
        <v>904</v>
      </c>
      <c r="D74">
        <v>35.311163915700007</v>
      </c>
      <c r="E74">
        <v>128.98833828486991</v>
      </c>
      <c r="F74" t="s">
        <v>564</v>
      </c>
      <c r="G74">
        <v>1</v>
      </c>
      <c r="H74" t="s">
        <v>904</v>
      </c>
      <c r="I74" t="str">
        <f>PROPER("BUSAN NATIONAL UNIVERSITY")</f>
        <v>Busan National University</v>
      </c>
      <c r="J74" t="s">
        <v>905</v>
      </c>
      <c r="K74" t="s">
        <v>906</v>
      </c>
      <c r="L74" t="s">
        <v>638</v>
      </c>
      <c r="M74" t="s">
        <v>907</v>
      </c>
      <c r="N74" t="s">
        <v>908</v>
      </c>
      <c r="P74">
        <v>352</v>
      </c>
    </row>
    <row r="75" spans="1:16" x14ac:dyDescent="0.45">
      <c r="A75" t="s">
        <v>222</v>
      </c>
      <c r="B75" t="s">
        <v>850</v>
      </c>
      <c r="C75" t="s">
        <v>909</v>
      </c>
      <c r="D75">
        <v>35.231442557483327</v>
      </c>
      <c r="E75">
        <v>129.08436245034181</v>
      </c>
      <c r="F75" t="s">
        <v>564</v>
      </c>
      <c r="G75">
        <v>1</v>
      </c>
      <c r="H75" t="s">
        <v>909</v>
      </c>
      <c r="I75" t="str">
        <f>PROPER("BUSAN NATIONAL UNIVERSITY")</f>
        <v>Busan National University</v>
      </c>
      <c r="J75" t="s">
        <v>910</v>
      </c>
      <c r="K75" t="s">
        <v>911</v>
      </c>
      <c r="L75" t="s">
        <v>854</v>
      </c>
      <c r="M75" t="s">
        <v>912</v>
      </c>
      <c r="N75" t="s">
        <v>913</v>
      </c>
      <c r="P75">
        <v>1867</v>
      </c>
    </row>
    <row r="76" spans="1:16" x14ac:dyDescent="0.45">
      <c r="A76" t="s">
        <v>222</v>
      </c>
      <c r="B76" t="s">
        <v>635</v>
      </c>
      <c r="C76" t="s">
        <v>914</v>
      </c>
      <c r="D76">
        <v>35.454029900000002</v>
      </c>
      <c r="E76">
        <v>128.8084336</v>
      </c>
      <c r="F76" t="s">
        <v>564</v>
      </c>
      <c r="G76">
        <v>1</v>
      </c>
      <c r="H76" t="s">
        <v>914</v>
      </c>
      <c r="I76" t="str">
        <f>PROPER("BUSAN NATIONAL UNIVERSITY")</f>
        <v>Busan National University</v>
      </c>
      <c r="J76" t="s">
        <v>915</v>
      </c>
      <c r="K76" t="s">
        <v>916</v>
      </c>
      <c r="L76" t="s">
        <v>638</v>
      </c>
      <c r="M76" t="s">
        <v>917</v>
      </c>
      <c r="N76" t="s">
        <v>918</v>
      </c>
      <c r="P76">
        <v>244</v>
      </c>
    </row>
    <row r="77" spans="1:16" x14ac:dyDescent="0.45">
      <c r="A77" t="s">
        <v>226</v>
      </c>
      <c r="B77" t="s">
        <v>608</v>
      </c>
      <c r="C77" t="s">
        <v>563</v>
      </c>
      <c r="D77">
        <v>37.604108905882001</v>
      </c>
      <c r="E77">
        <v>126.955159496571</v>
      </c>
      <c r="F77" t="s">
        <v>572</v>
      </c>
      <c r="G77">
        <v>0</v>
      </c>
      <c r="I77" t="str">
        <f>PROPER("SANGMYUNG UNIVERSITY")</f>
        <v>Sangmyung University</v>
      </c>
      <c r="J77" t="s">
        <v>919</v>
      </c>
      <c r="K77" t="s">
        <v>920</v>
      </c>
      <c r="L77" t="s">
        <v>612</v>
      </c>
      <c r="M77" t="s">
        <v>921</v>
      </c>
      <c r="N77" t="s">
        <v>922</v>
      </c>
    </row>
    <row r="78" spans="1:16" x14ac:dyDescent="0.45">
      <c r="A78" t="s">
        <v>231</v>
      </c>
      <c r="B78" t="s">
        <v>608</v>
      </c>
      <c r="C78" t="s">
        <v>563</v>
      </c>
      <c r="D78">
        <v>37.551468407500003</v>
      </c>
      <c r="E78">
        <v>126.943027036</v>
      </c>
      <c r="F78" t="s">
        <v>564</v>
      </c>
      <c r="G78">
        <v>1</v>
      </c>
      <c r="I78" t="s">
        <v>235</v>
      </c>
      <c r="J78" t="s">
        <v>231</v>
      </c>
      <c r="K78" t="s">
        <v>235</v>
      </c>
      <c r="L78" t="s">
        <v>612</v>
      </c>
      <c r="M78" t="s">
        <v>923</v>
      </c>
      <c r="N78" t="s">
        <v>924</v>
      </c>
      <c r="P78">
        <v>1050</v>
      </c>
    </row>
    <row r="79" spans="1:16" x14ac:dyDescent="0.45">
      <c r="A79" t="s">
        <v>236</v>
      </c>
      <c r="B79" t="s">
        <v>608</v>
      </c>
      <c r="C79" t="s">
        <v>563</v>
      </c>
      <c r="D79">
        <v>37.632805902858948</v>
      </c>
      <c r="E79">
        <v>127.0768336812461</v>
      </c>
      <c r="F79" t="s">
        <v>564</v>
      </c>
      <c r="G79">
        <v>1</v>
      </c>
      <c r="I79" t="str">
        <f>PROPER("Seoul National University of Science and Technology")</f>
        <v>Seoul National University Of Science And Technology</v>
      </c>
      <c r="J79" t="s">
        <v>925</v>
      </c>
      <c r="K79" t="s">
        <v>926</v>
      </c>
      <c r="L79" t="s">
        <v>612</v>
      </c>
      <c r="M79" t="s">
        <v>927</v>
      </c>
      <c r="N79" t="s">
        <v>928</v>
      </c>
      <c r="P79">
        <v>1201</v>
      </c>
    </row>
    <row r="80" spans="1:16" x14ac:dyDescent="0.45">
      <c r="A80" t="s">
        <v>242</v>
      </c>
      <c r="B80" t="s">
        <v>608</v>
      </c>
      <c r="C80" t="s">
        <v>563</v>
      </c>
      <c r="D80">
        <v>37.468038501123253</v>
      </c>
      <c r="E80">
        <v>126.9592960534645</v>
      </c>
      <c r="F80" t="s">
        <v>564</v>
      </c>
      <c r="G80">
        <v>1</v>
      </c>
      <c r="I80" t="s">
        <v>246</v>
      </c>
      <c r="J80" t="s">
        <v>929</v>
      </c>
      <c r="K80" t="s">
        <v>930</v>
      </c>
      <c r="L80" t="s">
        <v>612</v>
      </c>
      <c r="M80" t="s">
        <v>931</v>
      </c>
      <c r="N80" t="s">
        <v>932</v>
      </c>
      <c r="P80">
        <v>717</v>
      </c>
    </row>
    <row r="81" spans="1:16" x14ac:dyDescent="0.45">
      <c r="A81" t="s">
        <v>248</v>
      </c>
      <c r="B81" t="s">
        <v>608</v>
      </c>
      <c r="C81" t="s">
        <v>563</v>
      </c>
      <c r="D81">
        <v>37.582576494365547</v>
      </c>
      <c r="E81">
        <v>127.05999005076031</v>
      </c>
      <c r="F81" t="s">
        <v>564</v>
      </c>
      <c r="G81">
        <v>1</v>
      </c>
      <c r="I81" t="str">
        <f>PROPER("UNIVERSITY OF SEOUL")</f>
        <v>University Of Seoul</v>
      </c>
      <c r="J81" t="s">
        <v>248</v>
      </c>
      <c r="K81" t="s">
        <v>933</v>
      </c>
      <c r="L81" t="s">
        <v>612</v>
      </c>
      <c r="M81" t="s">
        <v>934</v>
      </c>
      <c r="N81" t="s">
        <v>935</v>
      </c>
      <c r="P81">
        <v>1164</v>
      </c>
    </row>
    <row r="82" spans="1:16" x14ac:dyDescent="0.45">
      <c r="A82" t="s">
        <v>253</v>
      </c>
      <c r="B82" t="s">
        <v>615</v>
      </c>
      <c r="C82" t="s">
        <v>563</v>
      </c>
      <c r="D82">
        <v>36.6259813562068</v>
      </c>
      <c r="E82">
        <v>127.4821185171045</v>
      </c>
      <c r="F82" t="s">
        <v>572</v>
      </c>
      <c r="G82">
        <v>0</v>
      </c>
      <c r="I82" t="s">
        <v>256</v>
      </c>
      <c r="J82" t="s">
        <v>253</v>
      </c>
      <c r="K82" t="s">
        <v>256</v>
      </c>
      <c r="L82" t="s">
        <v>619</v>
      </c>
      <c r="M82" t="s">
        <v>936</v>
      </c>
      <c r="N82" t="s">
        <v>937</v>
      </c>
    </row>
    <row r="83" spans="1:16" x14ac:dyDescent="0.45">
      <c r="A83" t="s">
        <v>257</v>
      </c>
      <c r="B83" t="s">
        <v>608</v>
      </c>
      <c r="C83" t="s">
        <v>563</v>
      </c>
      <c r="D83">
        <v>37.585830981395567</v>
      </c>
      <c r="E83">
        <v>127.0976267625128</v>
      </c>
      <c r="F83" t="s">
        <v>572</v>
      </c>
      <c r="G83">
        <v>0</v>
      </c>
      <c r="I83" t="str">
        <f>PROPER("SEOIL UNIVERSITY")</f>
        <v>Seoil University</v>
      </c>
      <c r="J83" t="s">
        <v>257</v>
      </c>
      <c r="K83" t="s">
        <v>938</v>
      </c>
      <c r="L83" t="s">
        <v>612</v>
      </c>
      <c r="M83" t="s">
        <v>939</v>
      </c>
      <c r="N83" t="s">
        <v>940</v>
      </c>
    </row>
    <row r="84" spans="1:16" x14ac:dyDescent="0.45">
      <c r="A84" t="s">
        <v>261</v>
      </c>
      <c r="B84" t="s">
        <v>562</v>
      </c>
      <c r="C84" t="s">
        <v>563</v>
      </c>
      <c r="D84">
        <v>37.379864911699997</v>
      </c>
      <c r="E84">
        <v>126.928808635</v>
      </c>
      <c r="F84" t="s">
        <v>564</v>
      </c>
      <c r="G84">
        <v>1</v>
      </c>
      <c r="I84" t="str">
        <f>PROPER("SUNGKYUL UNIVERSITY")</f>
        <v>Sungkyul University</v>
      </c>
      <c r="J84" t="s">
        <v>261</v>
      </c>
      <c r="K84" t="s">
        <v>941</v>
      </c>
      <c r="L84" t="s">
        <v>567</v>
      </c>
      <c r="M84" t="s">
        <v>942</v>
      </c>
      <c r="N84" t="s">
        <v>943</v>
      </c>
      <c r="P84">
        <v>236</v>
      </c>
    </row>
    <row r="85" spans="1:16" x14ac:dyDescent="0.45">
      <c r="A85" t="s">
        <v>265</v>
      </c>
      <c r="B85" t="s">
        <v>608</v>
      </c>
      <c r="C85" t="s">
        <v>944</v>
      </c>
      <c r="D85">
        <v>37.588227000000003</v>
      </c>
      <c r="E85">
        <v>126.993606</v>
      </c>
      <c r="F85" t="s">
        <v>564</v>
      </c>
      <c r="G85">
        <v>1</v>
      </c>
      <c r="H85" t="s">
        <v>944</v>
      </c>
      <c r="I85" t="str">
        <f>PROPER("SUNGKYUNKWAN UNIVERSITY")</f>
        <v>Sungkyunkwan University</v>
      </c>
      <c r="J85" t="s">
        <v>945</v>
      </c>
      <c r="K85" t="s">
        <v>946</v>
      </c>
      <c r="L85" t="s">
        <v>612</v>
      </c>
      <c r="M85" t="s">
        <v>947</v>
      </c>
      <c r="N85" t="s">
        <v>948</v>
      </c>
      <c r="P85">
        <v>1053</v>
      </c>
    </row>
    <row r="86" spans="1:16" x14ac:dyDescent="0.45">
      <c r="A86" t="s">
        <v>265</v>
      </c>
      <c r="B86" t="s">
        <v>562</v>
      </c>
      <c r="C86" t="s">
        <v>949</v>
      </c>
      <c r="D86">
        <v>37.295035389200002</v>
      </c>
      <c r="E86">
        <v>126.974876666</v>
      </c>
      <c r="F86" t="s">
        <v>564</v>
      </c>
      <c r="G86">
        <v>1</v>
      </c>
      <c r="H86" t="s">
        <v>949</v>
      </c>
      <c r="I86" t="str">
        <f>PROPER("SUNGKYUNKWAN UNIVERSITY")</f>
        <v>Sungkyunkwan University</v>
      </c>
      <c r="J86" t="s">
        <v>950</v>
      </c>
      <c r="K86" t="s">
        <v>951</v>
      </c>
      <c r="L86" t="s">
        <v>567</v>
      </c>
      <c r="M86" t="s">
        <v>952</v>
      </c>
      <c r="N86" t="s">
        <v>953</v>
      </c>
      <c r="P86">
        <v>1473</v>
      </c>
    </row>
    <row r="87" spans="1:16" x14ac:dyDescent="0.45">
      <c r="A87" t="s">
        <v>270</v>
      </c>
      <c r="B87" t="s">
        <v>608</v>
      </c>
      <c r="C87" t="s">
        <v>563</v>
      </c>
      <c r="D87">
        <v>37.591652476724903</v>
      </c>
      <c r="E87">
        <v>127.02214561648999</v>
      </c>
      <c r="F87" t="s">
        <v>564</v>
      </c>
      <c r="G87">
        <v>1</v>
      </c>
      <c r="I87" t="s">
        <v>954</v>
      </c>
      <c r="J87" t="s">
        <v>955</v>
      </c>
      <c r="K87" t="s">
        <v>954</v>
      </c>
      <c r="L87" t="s">
        <v>612</v>
      </c>
      <c r="M87" t="s">
        <v>956</v>
      </c>
      <c r="N87" t="s">
        <v>957</v>
      </c>
      <c r="P87">
        <v>494</v>
      </c>
    </row>
    <row r="88" spans="1:16" x14ac:dyDescent="0.45">
      <c r="A88" t="s">
        <v>270</v>
      </c>
      <c r="B88" t="s">
        <v>608</v>
      </c>
      <c r="C88" t="s">
        <v>958</v>
      </c>
      <c r="D88">
        <v>37.632037998772297</v>
      </c>
      <c r="E88">
        <v>127.027124202688</v>
      </c>
      <c r="F88" t="s">
        <v>564</v>
      </c>
      <c r="G88">
        <v>1</v>
      </c>
      <c r="H88" t="s">
        <v>958</v>
      </c>
      <c r="I88" t="s">
        <v>954</v>
      </c>
      <c r="J88" t="s">
        <v>959</v>
      </c>
      <c r="K88" t="s">
        <v>960</v>
      </c>
      <c r="L88" t="s">
        <v>612</v>
      </c>
      <c r="M88" t="s">
        <v>961</v>
      </c>
      <c r="N88" t="s">
        <v>962</v>
      </c>
      <c r="P88">
        <v>217</v>
      </c>
    </row>
    <row r="89" spans="1:16" x14ac:dyDescent="0.45">
      <c r="A89" t="s">
        <v>274</v>
      </c>
      <c r="B89" t="s">
        <v>608</v>
      </c>
      <c r="C89" t="s">
        <v>563</v>
      </c>
      <c r="D89">
        <v>37.550798080345501</v>
      </c>
      <c r="E89">
        <v>127.074575586641</v>
      </c>
      <c r="F89" t="s">
        <v>572</v>
      </c>
      <c r="G89">
        <v>0</v>
      </c>
      <c r="I89" t="str">
        <f>PROPER("SEJONG UNIVERSITY")</f>
        <v>Sejong University</v>
      </c>
      <c r="J89" t="s">
        <v>274</v>
      </c>
      <c r="K89" t="s">
        <v>963</v>
      </c>
      <c r="L89" t="s">
        <v>612</v>
      </c>
      <c r="M89" t="s">
        <v>964</v>
      </c>
      <c r="N89" t="s">
        <v>965</v>
      </c>
    </row>
    <row r="90" spans="1:16" x14ac:dyDescent="0.45">
      <c r="A90" t="s">
        <v>278</v>
      </c>
      <c r="B90" t="s">
        <v>846</v>
      </c>
      <c r="C90" t="s">
        <v>563</v>
      </c>
      <c r="D90">
        <v>34.745378237886968</v>
      </c>
      <c r="E90">
        <v>126.4832658312688</v>
      </c>
      <c r="F90" t="s">
        <v>564</v>
      </c>
      <c r="G90">
        <v>1</v>
      </c>
      <c r="I90" t="str">
        <f>PROPER("SEHAN UNIVERSITY")</f>
        <v>Sehan University</v>
      </c>
      <c r="J90" t="s">
        <v>966</v>
      </c>
      <c r="K90" t="s">
        <v>967</v>
      </c>
      <c r="L90" t="s">
        <v>847</v>
      </c>
      <c r="M90" t="s">
        <v>968</v>
      </c>
      <c r="N90" t="s">
        <v>969</v>
      </c>
      <c r="O90" t="s">
        <v>970</v>
      </c>
    </row>
    <row r="91" spans="1:16" x14ac:dyDescent="0.45">
      <c r="A91" t="s">
        <v>278</v>
      </c>
      <c r="B91" t="s">
        <v>622</v>
      </c>
      <c r="C91" t="s">
        <v>971</v>
      </c>
      <c r="D91">
        <v>36.876155580213393</v>
      </c>
      <c r="E91">
        <v>126.7806583413888</v>
      </c>
      <c r="F91" t="s">
        <v>564</v>
      </c>
      <c r="G91">
        <v>1</v>
      </c>
      <c r="H91" t="s">
        <v>971</v>
      </c>
      <c r="I91" t="str">
        <f>PROPER("SEHAN UNIVERSITY")</f>
        <v>Sehan University</v>
      </c>
      <c r="J91" t="s">
        <v>972</v>
      </c>
      <c r="K91" t="s">
        <v>973</v>
      </c>
      <c r="L91" t="s">
        <v>626</v>
      </c>
      <c r="M91" t="s">
        <v>974</v>
      </c>
      <c r="N91" t="s">
        <v>975</v>
      </c>
    </row>
    <row r="92" spans="1:16" x14ac:dyDescent="0.45">
      <c r="A92" t="s">
        <v>282</v>
      </c>
      <c r="B92" t="s">
        <v>562</v>
      </c>
      <c r="C92" t="s">
        <v>563</v>
      </c>
      <c r="D92">
        <v>37.210117484764197</v>
      </c>
      <c r="E92">
        <v>126.979480352479</v>
      </c>
      <c r="F92" t="s">
        <v>564</v>
      </c>
      <c r="G92">
        <v>1</v>
      </c>
      <c r="I92" t="str">
        <f>PROPER("THE UNIVERSITY OF SUWON")</f>
        <v>The University Of Suwon</v>
      </c>
      <c r="J92" t="s">
        <v>976</v>
      </c>
      <c r="K92" t="s">
        <v>977</v>
      </c>
      <c r="L92" t="s">
        <v>567</v>
      </c>
      <c r="M92" t="s">
        <v>978</v>
      </c>
      <c r="N92" t="s">
        <v>979</v>
      </c>
      <c r="P92">
        <v>536</v>
      </c>
    </row>
    <row r="93" spans="1:16" x14ac:dyDescent="0.45">
      <c r="A93" t="s">
        <v>287</v>
      </c>
      <c r="B93" t="s">
        <v>608</v>
      </c>
      <c r="C93" t="s">
        <v>563</v>
      </c>
      <c r="D93">
        <v>37.544960949999997</v>
      </c>
      <c r="E93">
        <v>126.965025279</v>
      </c>
      <c r="F93" t="s">
        <v>572</v>
      </c>
      <c r="G93">
        <v>0</v>
      </c>
      <c r="I93" t="s">
        <v>980</v>
      </c>
      <c r="J93" t="s">
        <v>981</v>
      </c>
      <c r="K93" t="s">
        <v>980</v>
      </c>
      <c r="L93" t="s">
        <v>612</v>
      </c>
      <c r="M93" t="s">
        <v>982</v>
      </c>
      <c r="N93" t="s">
        <v>983</v>
      </c>
    </row>
    <row r="94" spans="1:16" x14ac:dyDescent="0.45">
      <c r="A94" t="s">
        <v>291</v>
      </c>
      <c r="B94" t="s">
        <v>846</v>
      </c>
      <c r="C94" t="s">
        <v>563</v>
      </c>
      <c r="D94">
        <v>34.966770174770218</v>
      </c>
      <c r="E94">
        <v>127.4809262987245</v>
      </c>
      <c r="F94" t="s">
        <v>564</v>
      </c>
      <c r="G94">
        <v>1</v>
      </c>
      <c r="I94" t="s">
        <v>295</v>
      </c>
      <c r="J94" t="s">
        <v>984</v>
      </c>
      <c r="K94" t="s">
        <v>295</v>
      </c>
      <c r="L94" t="s">
        <v>847</v>
      </c>
      <c r="M94" t="s">
        <v>985</v>
      </c>
      <c r="N94" t="s">
        <v>986</v>
      </c>
      <c r="P94">
        <v>603</v>
      </c>
    </row>
    <row r="95" spans="1:16" x14ac:dyDescent="0.45">
      <c r="A95" t="s">
        <v>296</v>
      </c>
      <c r="B95" t="s">
        <v>608</v>
      </c>
      <c r="C95" t="s">
        <v>563</v>
      </c>
      <c r="D95">
        <v>37.496428968863597</v>
      </c>
      <c r="E95">
        <v>126.955157917408</v>
      </c>
      <c r="F95" t="s">
        <v>572</v>
      </c>
      <c r="G95">
        <v>0</v>
      </c>
      <c r="I95" t="str">
        <f>PROPER("Soongsil university")</f>
        <v>Soongsil University</v>
      </c>
      <c r="J95" t="s">
        <v>987</v>
      </c>
      <c r="K95" t="s">
        <v>988</v>
      </c>
      <c r="L95" t="s">
        <v>612</v>
      </c>
      <c r="M95" t="s">
        <v>989</v>
      </c>
      <c r="N95" t="s">
        <v>990</v>
      </c>
    </row>
    <row r="96" spans="1:16" x14ac:dyDescent="0.45">
      <c r="A96" t="s">
        <v>301</v>
      </c>
      <c r="B96" t="s">
        <v>562</v>
      </c>
      <c r="C96" t="s">
        <v>563</v>
      </c>
      <c r="D96">
        <v>37.710201049383798</v>
      </c>
      <c r="E96">
        <v>127.04628974814</v>
      </c>
      <c r="F96" t="s">
        <v>564</v>
      </c>
      <c r="G96">
        <v>1</v>
      </c>
      <c r="I96" t="str">
        <f>PROPER("SHINHAN UNIVERSITY")</f>
        <v>Shinhan University</v>
      </c>
      <c r="J96" t="s">
        <v>991</v>
      </c>
      <c r="K96" t="s">
        <v>992</v>
      </c>
      <c r="L96" t="s">
        <v>567</v>
      </c>
      <c r="M96" t="s">
        <v>993</v>
      </c>
      <c r="N96" t="s">
        <v>994</v>
      </c>
      <c r="P96">
        <v>400</v>
      </c>
    </row>
    <row r="97" spans="1:16" x14ac:dyDescent="0.45">
      <c r="A97" t="s">
        <v>306</v>
      </c>
      <c r="B97" t="s">
        <v>562</v>
      </c>
      <c r="C97" t="s">
        <v>563</v>
      </c>
      <c r="D97">
        <v>37.283192168869</v>
      </c>
      <c r="E97">
        <v>127.044128202435</v>
      </c>
      <c r="F97" t="s">
        <v>564</v>
      </c>
      <c r="G97">
        <v>1</v>
      </c>
      <c r="I97" t="s">
        <v>310</v>
      </c>
      <c r="J97" t="s">
        <v>995</v>
      </c>
      <c r="K97" t="s">
        <v>996</v>
      </c>
      <c r="L97" t="s">
        <v>567</v>
      </c>
      <c r="M97" t="s">
        <v>997</v>
      </c>
      <c r="N97" t="s">
        <v>998</v>
      </c>
      <c r="P97">
        <v>943</v>
      </c>
    </row>
    <row r="98" spans="1:16" x14ac:dyDescent="0.45">
      <c r="A98" t="s">
        <v>311</v>
      </c>
      <c r="B98" t="s">
        <v>608</v>
      </c>
      <c r="C98" t="s">
        <v>563</v>
      </c>
      <c r="D98">
        <v>37.566393699999999</v>
      </c>
      <c r="E98">
        <v>126.9387066</v>
      </c>
      <c r="F98" t="s">
        <v>564</v>
      </c>
      <c r="G98">
        <v>1</v>
      </c>
      <c r="I98" t="s">
        <v>315</v>
      </c>
      <c r="J98" t="s">
        <v>999</v>
      </c>
      <c r="K98" t="s">
        <v>1000</v>
      </c>
      <c r="L98" t="s">
        <v>612</v>
      </c>
      <c r="M98" t="s">
        <v>1001</v>
      </c>
      <c r="N98" t="s">
        <v>1002</v>
      </c>
      <c r="P98">
        <v>2800</v>
      </c>
    </row>
    <row r="99" spans="1:16" x14ac:dyDescent="0.45">
      <c r="A99" t="s">
        <v>311</v>
      </c>
      <c r="B99" t="s">
        <v>578</v>
      </c>
      <c r="C99" t="s">
        <v>1003</v>
      </c>
      <c r="D99">
        <v>37.274831654053557</v>
      </c>
      <c r="E99">
        <v>127.904327977619</v>
      </c>
      <c r="F99" t="s">
        <v>564</v>
      </c>
      <c r="G99">
        <v>1</v>
      </c>
      <c r="H99" t="s">
        <v>1003</v>
      </c>
      <c r="I99" t="s">
        <v>315</v>
      </c>
      <c r="J99" t="s">
        <v>1004</v>
      </c>
      <c r="K99" t="s">
        <v>1005</v>
      </c>
      <c r="L99" t="s">
        <v>582</v>
      </c>
      <c r="M99" t="s">
        <v>1006</v>
      </c>
      <c r="N99" t="s">
        <v>1007</v>
      </c>
      <c r="O99" t="s">
        <v>1008</v>
      </c>
      <c r="P99">
        <v>490</v>
      </c>
    </row>
    <row r="100" spans="1:16" x14ac:dyDescent="0.45">
      <c r="A100" t="s">
        <v>311</v>
      </c>
      <c r="B100" t="s">
        <v>570</v>
      </c>
      <c r="C100" t="s">
        <v>698</v>
      </c>
      <c r="D100">
        <v>37.381822132663359</v>
      </c>
      <c r="E100">
        <v>126.6672445709842</v>
      </c>
      <c r="F100" t="s">
        <v>572</v>
      </c>
      <c r="G100">
        <v>0</v>
      </c>
      <c r="H100" t="s">
        <v>698</v>
      </c>
      <c r="I100" t="s">
        <v>315</v>
      </c>
      <c r="J100" t="s">
        <v>1009</v>
      </c>
      <c r="K100" t="s">
        <v>1010</v>
      </c>
      <c r="L100" t="s">
        <v>575</v>
      </c>
      <c r="M100" t="s">
        <v>1011</v>
      </c>
      <c r="N100" t="s">
        <v>1012</v>
      </c>
    </row>
    <row r="101" spans="1:16" x14ac:dyDescent="0.45">
      <c r="A101" t="s">
        <v>316</v>
      </c>
      <c r="B101" t="s">
        <v>690</v>
      </c>
      <c r="C101" t="s">
        <v>563</v>
      </c>
      <c r="D101">
        <v>35.830492597999999</v>
      </c>
      <c r="E101">
        <v>128.75218181299999</v>
      </c>
      <c r="F101" t="s">
        <v>572</v>
      </c>
      <c r="G101">
        <v>0</v>
      </c>
      <c r="I101" t="s">
        <v>320</v>
      </c>
      <c r="J101" t="s">
        <v>1013</v>
      </c>
      <c r="K101" t="s">
        <v>1014</v>
      </c>
      <c r="L101" t="s">
        <v>691</v>
      </c>
      <c r="M101" t="s">
        <v>1015</v>
      </c>
      <c r="N101" t="s">
        <v>1016</v>
      </c>
    </row>
    <row r="102" spans="1:16" x14ac:dyDescent="0.45">
      <c r="A102" t="s">
        <v>321</v>
      </c>
      <c r="B102" t="s">
        <v>641</v>
      </c>
      <c r="C102" t="s">
        <v>563</v>
      </c>
      <c r="D102">
        <v>35.845791643120343</v>
      </c>
      <c r="E102">
        <v>128.58575551320229</v>
      </c>
      <c r="F102" t="s">
        <v>572</v>
      </c>
      <c r="G102">
        <v>0</v>
      </c>
      <c r="I102" t="s">
        <v>324</v>
      </c>
      <c r="J102" t="s">
        <v>321</v>
      </c>
      <c r="K102" t="s">
        <v>324</v>
      </c>
      <c r="L102" t="s">
        <v>645</v>
      </c>
      <c r="M102" t="s">
        <v>1017</v>
      </c>
      <c r="N102" t="s">
        <v>1018</v>
      </c>
    </row>
    <row r="103" spans="1:16" x14ac:dyDescent="0.45">
      <c r="A103" t="s">
        <v>325</v>
      </c>
      <c r="B103" t="s">
        <v>1019</v>
      </c>
      <c r="C103" t="s">
        <v>563</v>
      </c>
      <c r="D103">
        <v>35.573417599999999</v>
      </c>
      <c r="E103">
        <v>129.189629</v>
      </c>
      <c r="F103" t="s">
        <v>564</v>
      </c>
      <c r="G103">
        <v>1</v>
      </c>
      <c r="I103" t="s">
        <v>1020</v>
      </c>
      <c r="J103" t="s">
        <v>325</v>
      </c>
      <c r="K103" t="s">
        <v>1021</v>
      </c>
      <c r="L103" t="s">
        <v>1022</v>
      </c>
      <c r="M103" t="s">
        <v>1023</v>
      </c>
      <c r="N103" t="s">
        <v>1024</v>
      </c>
      <c r="P103">
        <v>1200</v>
      </c>
    </row>
    <row r="104" spans="1:16" x14ac:dyDescent="0.45">
      <c r="A104" t="s">
        <v>329</v>
      </c>
      <c r="B104" t="s">
        <v>1019</v>
      </c>
      <c r="C104" t="s">
        <v>563</v>
      </c>
      <c r="D104">
        <v>35.541877246887438</v>
      </c>
      <c r="E104">
        <v>129.25758645585279</v>
      </c>
      <c r="F104" t="s">
        <v>564</v>
      </c>
      <c r="G104">
        <v>1</v>
      </c>
      <c r="I104" t="str">
        <f>PROPER("UNIVERSITY OF ULSAN")</f>
        <v>University Of Ulsan</v>
      </c>
      <c r="J104" t="s">
        <v>329</v>
      </c>
      <c r="K104" t="s">
        <v>1025</v>
      </c>
      <c r="L104" t="s">
        <v>1022</v>
      </c>
      <c r="M104" t="s">
        <v>1026</v>
      </c>
      <c r="N104" t="s">
        <v>1027</v>
      </c>
      <c r="P104">
        <v>677</v>
      </c>
    </row>
    <row r="105" spans="1:16" x14ac:dyDescent="0.45">
      <c r="A105" t="s">
        <v>333</v>
      </c>
      <c r="B105" t="s">
        <v>790</v>
      </c>
      <c r="C105" t="s">
        <v>563</v>
      </c>
      <c r="D105">
        <v>35.971713965445197</v>
      </c>
      <c r="E105">
        <v>126.9602243460423</v>
      </c>
      <c r="F105" t="s">
        <v>572</v>
      </c>
      <c r="G105">
        <v>0</v>
      </c>
      <c r="I105" t="s">
        <v>1028</v>
      </c>
      <c r="J105" t="s">
        <v>1029</v>
      </c>
      <c r="K105" t="s">
        <v>1030</v>
      </c>
      <c r="L105" t="s">
        <v>793</v>
      </c>
      <c r="M105" t="s">
        <v>1031</v>
      </c>
      <c r="N105" t="s">
        <v>1032</v>
      </c>
    </row>
    <row r="106" spans="1:16" x14ac:dyDescent="0.45">
      <c r="A106" t="s">
        <v>337</v>
      </c>
      <c r="B106" t="s">
        <v>790</v>
      </c>
      <c r="C106" t="s">
        <v>563</v>
      </c>
      <c r="D106">
        <v>35.972746913476499</v>
      </c>
      <c r="E106">
        <v>126.95619665143001</v>
      </c>
      <c r="F106" t="s">
        <v>564</v>
      </c>
      <c r="G106">
        <v>1</v>
      </c>
      <c r="I106" t="str">
        <f>PROPER("WONKWANG HEALTH SCIENCE UNIVERSITY")</f>
        <v>Wonkwang Health Science University</v>
      </c>
      <c r="J106" t="s">
        <v>337</v>
      </c>
      <c r="K106" t="s">
        <v>1033</v>
      </c>
      <c r="L106" t="s">
        <v>793</v>
      </c>
      <c r="M106" t="s">
        <v>1034</v>
      </c>
      <c r="N106" t="s">
        <v>1035</v>
      </c>
      <c r="O106" t="s">
        <v>1036</v>
      </c>
      <c r="P106">
        <v>380</v>
      </c>
    </row>
    <row r="107" spans="1:16" x14ac:dyDescent="0.45">
      <c r="A107" t="s">
        <v>342</v>
      </c>
      <c r="B107" t="s">
        <v>562</v>
      </c>
      <c r="C107" t="s">
        <v>563</v>
      </c>
      <c r="D107">
        <v>37.488129913553202</v>
      </c>
      <c r="E107">
        <v>126.82236631694801</v>
      </c>
      <c r="F107" t="s">
        <v>572</v>
      </c>
      <c r="G107">
        <v>0</v>
      </c>
      <c r="I107" t="s">
        <v>345</v>
      </c>
      <c r="J107" t="s">
        <v>342</v>
      </c>
      <c r="K107" t="s">
        <v>345</v>
      </c>
      <c r="L107" t="s">
        <v>567</v>
      </c>
      <c r="M107" t="s">
        <v>1037</v>
      </c>
      <c r="N107" t="s">
        <v>1038</v>
      </c>
    </row>
    <row r="108" spans="1:16" x14ac:dyDescent="0.45">
      <c r="A108" t="s">
        <v>346</v>
      </c>
      <c r="B108" t="s">
        <v>608</v>
      </c>
      <c r="C108" t="s">
        <v>563</v>
      </c>
      <c r="D108">
        <v>37.564464067095841</v>
      </c>
      <c r="E108">
        <v>126.9502882721266</v>
      </c>
      <c r="F108" t="s">
        <v>572</v>
      </c>
      <c r="G108">
        <v>0</v>
      </c>
      <c r="I108" t="str">
        <f>PROPER("EWHA WOMANS UNIVERSITY")</f>
        <v>Ewha Womans University</v>
      </c>
      <c r="J108" t="s">
        <v>346</v>
      </c>
      <c r="K108" t="s">
        <v>1039</v>
      </c>
      <c r="L108" t="s">
        <v>612</v>
      </c>
      <c r="M108" t="s">
        <v>1040</v>
      </c>
      <c r="N108" t="s">
        <v>1041</v>
      </c>
    </row>
    <row r="109" spans="1:16" x14ac:dyDescent="0.45">
      <c r="A109" t="s">
        <v>351</v>
      </c>
      <c r="B109" t="s">
        <v>635</v>
      </c>
      <c r="C109" t="s">
        <v>563</v>
      </c>
      <c r="D109">
        <v>35.252809088399999</v>
      </c>
      <c r="E109">
        <v>128.90051596000001</v>
      </c>
      <c r="F109" t="s">
        <v>572</v>
      </c>
      <c r="G109">
        <v>0</v>
      </c>
      <c r="I109" t="str">
        <f>PROPER("INJE UNIVERSITY")</f>
        <v>Inje University</v>
      </c>
      <c r="J109" t="s">
        <v>1042</v>
      </c>
      <c r="K109" t="s">
        <v>1043</v>
      </c>
      <c r="L109" t="s">
        <v>638</v>
      </c>
      <c r="M109" t="s">
        <v>1044</v>
      </c>
      <c r="N109" t="s">
        <v>1045</v>
      </c>
    </row>
    <row r="110" spans="1:16" x14ac:dyDescent="0.45">
      <c r="A110" t="s">
        <v>356</v>
      </c>
      <c r="B110" t="s">
        <v>570</v>
      </c>
      <c r="C110" t="s">
        <v>563</v>
      </c>
      <c r="D110">
        <v>37.377855700616337</v>
      </c>
      <c r="E110">
        <v>126.6325053152302</v>
      </c>
      <c r="F110" t="s">
        <v>572</v>
      </c>
      <c r="G110">
        <v>0</v>
      </c>
      <c r="I110" t="str">
        <f>PROPER("INCHEON NATIONAL UNIVERSITY")</f>
        <v>Incheon National University</v>
      </c>
      <c r="J110" t="s">
        <v>1046</v>
      </c>
      <c r="K110" t="s">
        <v>1047</v>
      </c>
      <c r="L110" t="s">
        <v>575</v>
      </c>
      <c r="M110" t="s">
        <v>1048</v>
      </c>
      <c r="N110" t="s">
        <v>1049</v>
      </c>
    </row>
    <row r="111" spans="1:16" x14ac:dyDescent="0.45">
      <c r="A111" t="s">
        <v>360</v>
      </c>
      <c r="B111" t="s">
        <v>570</v>
      </c>
      <c r="C111" t="s">
        <v>563</v>
      </c>
      <c r="D111">
        <v>37.450022099999998</v>
      </c>
      <c r="E111">
        <v>126.653488</v>
      </c>
      <c r="F111" t="s">
        <v>564</v>
      </c>
      <c r="G111">
        <v>1</v>
      </c>
      <c r="I111" t="s">
        <v>1050</v>
      </c>
      <c r="J111" t="s">
        <v>360</v>
      </c>
      <c r="K111" t="s">
        <v>1050</v>
      </c>
      <c r="L111" t="s">
        <v>575</v>
      </c>
      <c r="M111" t="s">
        <v>1051</v>
      </c>
      <c r="N111" t="s">
        <v>1052</v>
      </c>
      <c r="P111">
        <v>750</v>
      </c>
    </row>
    <row r="112" spans="1:16" x14ac:dyDescent="0.45">
      <c r="A112" t="s">
        <v>364</v>
      </c>
      <c r="B112" t="s">
        <v>608</v>
      </c>
      <c r="C112" t="s">
        <v>563</v>
      </c>
      <c r="D112">
        <v>37.550265813556251</v>
      </c>
      <c r="E112">
        <v>127.10313451743249</v>
      </c>
      <c r="F112" t="s">
        <v>572</v>
      </c>
      <c r="G112">
        <v>0</v>
      </c>
      <c r="I112" t="str">
        <f>PROPER("PRESBYTERIAN UNIVERSITY AND THEOLOGICAL SEMINARY")</f>
        <v>Presbyterian University And Theological Seminary</v>
      </c>
      <c r="J112" t="s">
        <v>364</v>
      </c>
      <c r="K112" t="s">
        <v>1053</v>
      </c>
      <c r="L112" t="s">
        <v>612</v>
      </c>
      <c r="M112" t="s">
        <v>1054</v>
      </c>
      <c r="N112" t="s">
        <v>1055</v>
      </c>
    </row>
    <row r="113" spans="1:16" x14ac:dyDescent="0.45">
      <c r="A113" t="s">
        <v>369</v>
      </c>
      <c r="B113" t="s">
        <v>846</v>
      </c>
      <c r="C113" t="s">
        <v>1056</v>
      </c>
      <c r="D113">
        <v>35.061177603209323</v>
      </c>
      <c r="E113">
        <v>127.0032185862936</v>
      </c>
      <c r="F113" t="s">
        <v>564</v>
      </c>
      <c r="G113">
        <v>1</v>
      </c>
      <c r="H113" t="s">
        <v>1056</v>
      </c>
      <c r="I113" t="s">
        <v>373</v>
      </c>
      <c r="J113" t="s">
        <v>1057</v>
      </c>
      <c r="K113" t="s">
        <v>1058</v>
      </c>
      <c r="L113" t="s">
        <v>847</v>
      </c>
      <c r="M113" t="s">
        <v>1059</v>
      </c>
      <c r="N113" t="s">
        <v>1060</v>
      </c>
      <c r="P113">
        <v>162</v>
      </c>
    </row>
    <row r="114" spans="1:16" x14ac:dyDescent="0.45">
      <c r="A114" t="s">
        <v>369</v>
      </c>
      <c r="B114" t="s">
        <v>734</v>
      </c>
      <c r="C114" t="s">
        <v>1061</v>
      </c>
      <c r="D114">
        <v>35.14316702600614</v>
      </c>
      <c r="E114">
        <v>126.9232647461609</v>
      </c>
      <c r="F114" t="s">
        <v>564</v>
      </c>
      <c r="G114">
        <v>1</v>
      </c>
      <c r="H114" t="s">
        <v>1061</v>
      </c>
      <c r="I114" t="s">
        <v>373</v>
      </c>
      <c r="J114" t="s">
        <v>1062</v>
      </c>
      <c r="K114" t="s">
        <v>1063</v>
      </c>
      <c r="L114" t="s">
        <v>736</v>
      </c>
      <c r="M114" t="s">
        <v>1064</v>
      </c>
      <c r="N114" t="s">
        <v>1065</v>
      </c>
      <c r="P114">
        <v>156</v>
      </c>
    </row>
    <row r="115" spans="1:16" x14ac:dyDescent="0.45">
      <c r="A115" t="s">
        <v>369</v>
      </c>
      <c r="B115" t="s">
        <v>846</v>
      </c>
      <c r="C115" t="s">
        <v>1066</v>
      </c>
      <c r="D115">
        <v>34.77487</v>
      </c>
      <c r="E115">
        <v>127.6994546</v>
      </c>
      <c r="F115" t="s">
        <v>564</v>
      </c>
      <c r="G115">
        <v>1</v>
      </c>
      <c r="H115" t="s">
        <v>1066</v>
      </c>
      <c r="I115" t="s">
        <v>373</v>
      </c>
      <c r="J115" t="s">
        <v>1067</v>
      </c>
      <c r="K115" t="s">
        <v>1068</v>
      </c>
      <c r="L115" t="s">
        <v>847</v>
      </c>
      <c r="M115" t="s">
        <v>1069</v>
      </c>
      <c r="N115" t="s">
        <v>1070</v>
      </c>
      <c r="P115">
        <v>403</v>
      </c>
    </row>
    <row r="116" spans="1:16" x14ac:dyDescent="0.45">
      <c r="A116" t="s">
        <v>369</v>
      </c>
      <c r="B116" t="s">
        <v>734</v>
      </c>
      <c r="C116" t="s">
        <v>1071</v>
      </c>
      <c r="D116">
        <v>35.173880699900003</v>
      </c>
      <c r="E116">
        <v>126.911142969</v>
      </c>
      <c r="F116" t="s">
        <v>564</v>
      </c>
      <c r="G116">
        <v>1</v>
      </c>
      <c r="H116" t="s">
        <v>1071</v>
      </c>
      <c r="I116" t="s">
        <v>373</v>
      </c>
      <c r="J116" t="s">
        <v>1072</v>
      </c>
      <c r="K116" t="s">
        <v>1073</v>
      </c>
      <c r="L116" t="s">
        <v>736</v>
      </c>
      <c r="M116" t="s">
        <v>1074</v>
      </c>
      <c r="N116" t="s">
        <v>1075</v>
      </c>
      <c r="P116">
        <v>2101</v>
      </c>
    </row>
    <row r="117" spans="1:16" x14ac:dyDescent="0.45">
      <c r="A117" t="s">
        <v>374</v>
      </c>
      <c r="B117" t="s">
        <v>790</v>
      </c>
      <c r="C117" t="s">
        <v>563</v>
      </c>
      <c r="D117">
        <v>35.846817100000003</v>
      </c>
      <c r="E117">
        <v>127.1299221</v>
      </c>
      <c r="F117" t="s">
        <v>572</v>
      </c>
      <c r="G117">
        <v>0</v>
      </c>
      <c r="I117" t="s">
        <v>1076</v>
      </c>
      <c r="J117" t="s">
        <v>1077</v>
      </c>
      <c r="K117" t="s">
        <v>1076</v>
      </c>
      <c r="L117" t="s">
        <v>793</v>
      </c>
      <c r="M117" t="s">
        <v>1078</v>
      </c>
      <c r="N117" t="s">
        <v>1079</v>
      </c>
      <c r="O117" t="s">
        <v>1080</v>
      </c>
    </row>
    <row r="118" spans="1:16" x14ac:dyDescent="0.45">
      <c r="A118" t="s">
        <v>374</v>
      </c>
      <c r="B118" t="s">
        <v>790</v>
      </c>
      <c r="C118" t="s">
        <v>1081</v>
      </c>
      <c r="D118">
        <v>35.942861621871579</v>
      </c>
      <c r="E118">
        <v>126.9597160808072</v>
      </c>
      <c r="F118" t="s">
        <v>572</v>
      </c>
      <c r="G118">
        <v>0</v>
      </c>
      <c r="H118" t="s">
        <v>1081</v>
      </c>
      <c r="I118" t="s">
        <v>1082</v>
      </c>
      <c r="J118" t="s">
        <v>1083</v>
      </c>
      <c r="K118" t="s">
        <v>1082</v>
      </c>
      <c r="L118" t="s">
        <v>793</v>
      </c>
      <c r="M118" t="s">
        <v>1084</v>
      </c>
      <c r="N118" t="s">
        <v>1085</v>
      </c>
    </row>
    <row r="119" spans="1:16" x14ac:dyDescent="0.45">
      <c r="A119" t="s">
        <v>379</v>
      </c>
      <c r="B119" t="s">
        <v>790</v>
      </c>
      <c r="C119" t="s">
        <v>563</v>
      </c>
      <c r="D119">
        <v>35.809162781679163</v>
      </c>
      <c r="E119">
        <v>127.153803187126</v>
      </c>
      <c r="F119" t="s">
        <v>564</v>
      </c>
      <c r="G119">
        <v>1</v>
      </c>
      <c r="I119" t="str">
        <f>PROPER("JEONJU NATIONAL UNIVERSITY OF EDUCATION")</f>
        <v>Jeonju National University Of Education</v>
      </c>
      <c r="J119" t="s">
        <v>379</v>
      </c>
      <c r="K119" t="s">
        <v>1086</v>
      </c>
      <c r="L119" t="s">
        <v>793</v>
      </c>
      <c r="M119" t="s">
        <v>1087</v>
      </c>
      <c r="N119" t="s">
        <v>1088</v>
      </c>
      <c r="P119">
        <v>249</v>
      </c>
    </row>
    <row r="120" spans="1:16" x14ac:dyDescent="0.45">
      <c r="A120" t="s">
        <v>384</v>
      </c>
      <c r="B120" t="s">
        <v>790</v>
      </c>
      <c r="C120" t="s">
        <v>563</v>
      </c>
      <c r="D120">
        <v>35.816222096646193</v>
      </c>
      <c r="E120">
        <v>127.0888855324619</v>
      </c>
      <c r="F120" t="s">
        <v>572</v>
      </c>
      <c r="G120">
        <v>0</v>
      </c>
      <c r="I120" t="s">
        <v>1089</v>
      </c>
      <c r="J120" t="s">
        <v>384</v>
      </c>
      <c r="K120" t="s">
        <v>1089</v>
      </c>
      <c r="L120" t="s">
        <v>793</v>
      </c>
      <c r="M120" t="s">
        <v>1090</v>
      </c>
      <c r="N120" t="s">
        <v>1091</v>
      </c>
    </row>
    <row r="121" spans="1:16" x14ac:dyDescent="0.45">
      <c r="A121" t="s">
        <v>389</v>
      </c>
      <c r="B121" t="s">
        <v>790</v>
      </c>
      <c r="C121" t="s">
        <v>563</v>
      </c>
      <c r="D121">
        <v>35.810877883841393</v>
      </c>
      <c r="E121">
        <v>127.0909641264078</v>
      </c>
      <c r="F121" t="s">
        <v>564</v>
      </c>
      <c r="G121">
        <v>1</v>
      </c>
      <c r="I121" t="s">
        <v>392</v>
      </c>
      <c r="J121" t="s">
        <v>389</v>
      </c>
      <c r="K121" t="s">
        <v>392</v>
      </c>
      <c r="L121" t="s">
        <v>793</v>
      </c>
      <c r="M121" t="s">
        <v>1092</v>
      </c>
      <c r="N121" t="s">
        <v>1093</v>
      </c>
      <c r="P121">
        <v>260</v>
      </c>
    </row>
    <row r="122" spans="1:16" x14ac:dyDescent="0.45">
      <c r="A122" t="s">
        <v>393</v>
      </c>
      <c r="B122" t="s">
        <v>1094</v>
      </c>
      <c r="C122" t="s">
        <v>1095</v>
      </c>
      <c r="D122">
        <v>33.457247847178422</v>
      </c>
      <c r="E122">
        <v>126.56436020636239</v>
      </c>
      <c r="F122" t="s">
        <v>564</v>
      </c>
      <c r="G122">
        <v>1</v>
      </c>
      <c r="H122" t="s">
        <v>1095</v>
      </c>
      <c r="I122" t="s">
        <v>397</v>
      </c>
      <c r="J122" t="s">
        <v>1096</v>
      </c>
      <c r="K122" t="s">
        <v>1097</v>
      </c>
      <c r="L122" t="s">
        <v>1098</v>
      </c>
      <c r="M122" t="s">
        <v>1099</v>
      </c>
      <c r="N122" t="s">
        <v>1100</v>
      </c>
      <c r="P122">
        <v>934</v>
      </c>
    </row>
    <row r="123" spans="1:16" x14ac:dyDescent="0.45">
      <c r="A123" t="s">
        <v>398</v>
      </c>
      <c r="B123" t="s">
        <v>734</v>
      </c>
      <c r="C123" t="s">
        <v>563</v>
      </c>
      <c r="D123">
        <v>35.146003840699997</v>
      </c>
      <c r="E123">
        <v>126.93436321199999</v>
      </c>
      <c r="F123" t="s">
        <v>572</v>
      </c>
      <c r="G123">
        <v>0</v>
      </c>
      <c r="I123" t="s">
        <v>1101</v>
      </c>
      <c r="J123" t="s">
        <v>398</v>
      </c>
      <c r="K123" t="s">
        <v>1101</v>
      </c>
      <c r="L123" t="s">
        <v>736</v>
      </c>
      <c r="M123" t="s">
        <v>1102</v>
      </c>
      <c r="N123" t="s">
        <v>1103</v>
      </c>
      <c r="O123" t="s">
        <v>1104</v>
      </c>
    </row>
    <row r="124" spans="1:16" x14ac:dyDescent="0.45">
      <c r="A124" t="s">
        <v>403</v>
      </c>
      <c r="B124" t="s">
        <v>562</v>
      </c>
      <c r="C124" t="s">
        <v>1105</v>
      </c>
      <c r="D124">
        <v>37.0004292004148</v>
      </c>
      <c r="E124">
        <v>127.228708651132</v>
      </c>
      <c r="F124" t="s">
        <v>564</v>
      </c>
      <c r="G124">
        <v>1</v>
      </c>
      <c r="H124" t="s">
        <v>1105</v>
      </c>
      <c r="I124" t="s">
        <v>407</v>
      </c>
      <c r="J124" t="s">
        <v>1106</v>
      </c>
      <c r="K124" t="s">
        <v>1107</v>
      </c>
      <c r="L124" t="s">
        <v>567</v>
      </c>
      <c r="M124" t="s">
        <v>1108</v>
      </c>
      <c r="N124" t="s">
        <v>1109</v>
      </c>
      <c r="P124">
        <v>1026</v>
      </c>
    </row>
    <row r="125" spans="1:16" x14ac:dyDescent="0.45">
      <c r="A125" t="s">
        <v>403</v>
      </c>
      <c r="B125" t="s">
        <v>608</v>
      </c>
      <c r="C125" t="s">
        <v>609</v>
      </c>
      <c r="D125">
        <v>37.504725552499998</v>
      </c>
      <c r="E125">
        <v>126.95383390799999</v>
      </c>
      <c r="F125" t="s">
        <v>564</v>
      </c>
      <c r="G125">
        <v>1</v>
      </c>
      <c r="H125" t="s">
        <v>609</v>
      </c>
      <c r="I125" t="s">
        <v>407</v>
      </c>
      <c r="J125" t="s">
        <v>1110</v>
      </c>
      <c r="K125" t="s">
        <v>1111</v>
      </c>
      <c r="L125" t="s">
        <v>612</v>
      </c>
      <c r="M125" t="s">
        <v>1112</v>
      </c>
      <c r="N125" t="s">
        <v>1113</v>
      </c>
      <c r="P125">
        <v>2177</v>
      </c>
    </row>
    <row r="126" spans="1:16" x14ac:dyDescent="0.45">
      <c r="A126" t="s">
        <v>408</v>
      </c>
      <c r="B126" t="s">
        <v>635</v>
      </c>
      <c r="C126" t="s">
        <v>563</v>
      </c>
      <c r="D126">
        <v>35.245959190643248</v>
      </c>
      <c r="E126">
        <v>128.69484852088999</v>
      </c>
      <c r="F126" t="s">
        <v>572</v>
      </c>
      <c r="G126">
        <v>0</v>
      </c>
      <c r="I126" t="s">
        <v>412</v>
      </c>
      <c r="J126" t="s">
        <v>1114</v>
      </c>
      <c r="K126" t="s">
        <v>412</v>
      </c>
      <c r="L126" t="s">
        <v>638</v>
      </c>
      <c r="M126" t="s">
        <v>1115</v>
      </c>
      <c r="N126" t="s">
        <v>1116</v>
      </c>
    </row>
    <row r="127" spans="1:16" x14ac:dyDescent="0.45">
      <c r="A127" t="s">
        <v>413</v>
      </c>
      <c r="B127" t="s">
        <v>615</v>
      </c>
      <c r="C127" t="s">
        <v>563</v>
      </c>
      <c r="D127">
        <v>36.615430453800002</v>
      </c>
      <c r="E127">
        <v>127.484011263</v>
      </c>
      <c r="F127" t="s">
        <v>564</v>
      </c>
      <c r="G127">
        <v>1</v>
      </c>
      <c r="I127" t="s">
        <v>417</v>
      </c>
      <c r="J127" t="s">
        <v>413</v>
      </c>
      <c r="K127" t="s">
        <v>1117</v>
      </c>
      <c r="L127" t="s">
        <v>619</v>
      </c>
      <c r="M127" t="s">
        <v>1118</v>
      </c>
      <c r="N127" t="s">
        <v>1119</v>
      </c>
      <c r="P127">
        <v>474</v>
      </c>
    </row>
    <row r="128" spans="1:16" x14ac:dyDescent="0.45">
      <c r="A128" t="s">
        <v>418</v>
      </c>
      <c r="B128" t="s">
        <v>578</v>
      </c>
      <c r="C128" t="s">
        <v>563</v>
      </c>
      <c r="D128">
        <v>37.85941607250345</v>
      </c>
      <c r="E128">
        <v>127.7486049171837</v>
      </c>
      <c r="F128" t="s">
        <v>564</v>
      </c>
      <c r="G128">
        <v>1</v>
      </c>
      <c r="I128" t="str">
        <f>PROPER("CHUNCHEON NATIONAL UNIVERSITY OF EDUCATION")</f>
        <v>Chuncheon National University Of Education</v>
      </c>
      <c r="J128" t="s">
        <v>418</v>
      </c>
      <c r="K128" t="s">
        <v>1120</v>
      </c>
      <c r="L128" t="s">
        <v>582</v>
      </c>
      <c r="M128" t="s">
        <v>1121</v>
      </c>
      <c r="N128" t="s">
        <v>1122</v>
      </c>
      <c r="P128">
        <v>393</v>
      </c>
    </row>
    <row r="129" spans="1:16" x14ac:dyDescent="0.45">
      <c r="A129" t="s">
        <v>423</v>
      </c>
      <c r="B129" t="s">
        <v>629</v>
      </c>
      <c r="C129" t="s">
        <v>563</v>
      </c>
      <c r="D129">
        <v>36.368368221890158</v>
      </c>
      <c r="E129">
        <v>127.34200010669861</v>
      </c>
      <c r="F129" t="s">
        <v>564</v>
      </c>
      <c r="G129">
        <v>1</v>
      </c>
      <c r="I129" t="s">
        <v>427</v>
      </c>
      <c r="J129" t="s">
        <v>1123</v>
      </c>
      <c r="K129" t="s">
        <v>1124</v>
      </c>
      <c r="L129" t="s">
        <v>632</v>
      </c>
      <c r="M129" t="s">
        <v>1125</v>
      </c>
      <c r="N129" t="s">
        <v>1126</v>
      </c>
      <c r="O129" t="s">
        <v>1127</v>
      </c>
      <c r="P129">
        <v>2414</v>
      </c>
    </row>
    <row r="130" spans="1:16" x14ac:dyDescent="0.45">
      <c r="A130" t="s">
        <v>423</v>
      </c>
      <c r="B130" t="s">
        <v>629</v>
      </c>
      <c r="C130" t="s">
        <v>1128</v>
      </c>
      <c r="D130">
        <v>36.316319239586797</v>
      </c>
      <c r="E130">
        <v>127.413800712178</v>
      </c>
      <c r="F130" t="s">
        <v>564</v>
      </c>
      <c r="G130">
        <v>1</v>
      </c>
      <c r="H130" t="s">
        <v>1128</v>
      </c>
      <c r="I130" t="s">
        <v>427</v>
      </c>
      <c r="J130" t="s">
        <v>1129</v>
      </c>
      <c r="K130" t="s">
        <v>1130</v>
      </c>
      <c r="L130" t="s">
        <v>632</v>
      </c>
      <c r="M130" t="s">
        <v>1131</v>
      </c>
      <c r="N130" t="s">
        <v>1132</v>
      </c>
      <c r="O130" t="s">
        <v>1127</v>
      </c>
      <c r="P130">
        <v>160</v>
      </c>
    </row>
    <row r="131" spans="1:16" x14ac:dyDescent="0.45">
      <c r="A131" t="s">
        <v>428</v>
      </c>
      <c r="B131" t="s">
        <v>615</v>
      </c>
      <c r="C131" t="s">
        <v>563</v>
      </c>
      <c r="D131">
        <v>36.630039333870847</v>
      </c>
      <c r="E131">
        <v>127.4547919873264</v>
      </c>
      <c r="F131" t="s">
        <v>564</v>
      </c>
      <c r="G131">
        <v>4</v>
      </c>
      <c r="I131" t="s">
        <v>432</v>
      </c>
      <c r="J131" t="s">
        <v>428</v>
      </c>
      <c r="K131" t="s">
        <v>432</v>
      </c>
      <c r="L131" t="s">
        <v>619</v>
      </c>
      <c r="M131" t="s">
        <v>1133</v>
      </c>
      <c r="N131" t="s">
        <v>1134</v>
      </c>
      <c r="O131" t="s">
        <v>1135</v>
      </c>
      <c r="P131">
        <v>2100</v>
      </c>
    </row>
    <row r="132" spans="1:16" x14ac:dyDescent="0.45">
      <c r="A132" t="s">
        <v>433</v>
      </c>
      <c r="B132" t="s">
        <v>615</v>
      </c>
      <c r="C132" t="s">
        <v>563</v>
      </c>
      <c r="D132">
        <v>36.703500371989598</v>
      </c>
      <c r="E132">
        <v>127.553357528953</v>
      </c>
      <c r="F132" t="s">
        <v>572</v>
      </c>
      <c r="G132">
        <v>0</v>
      </c>
      <c r="I132" t="s">
        <v>1136</v>
      </c>
      <c r="J132" t="s">
        <v>433</v>
      </c>
      <c r="K132" t="s">
        <v>1136</v>
      </c>
      <c r="L132" t="s">
        <v>619</v>
      </c>
      <c r="M132" t="s">
        <v>1137</v>
      </c>
      <c r="N132" t="s">
        <v>1138</v>
      </c>
      <c r="P132">
        <v>10</v>
      </c>
    </row>
    <row r="133" spans="1:16" x14ac:dyDescent="0.45">
      <c r="A133" t="s">
        <v>437</v>
      </c>
      <c r="B133" t="s">
        <v>690</v>
      </c>
      <c r="C133" t="s">
        <v>563</v>
      </c>
      <c r="D133">
        <v>36.010587413261263</v>
      </c>
      <c r="E133">
        <v>129.32129983082001</v>
      </c>
      <c r="F133" t="s">
        <v>572</v>
      </c>
      <c r="G133">
        <v>0</v>
      </c>
      <c r="I133" t="s">
        <v>441</v>
      </c>
      <c r="J133" t="s">
        <v>437</v>
      </c>
      <c r="K133" t="s">
        <v>1139</v>
      </c>
      <c r="L133" t="s">
        <v>691</v>
      </c>
      <c r="M133" t="s">
        <v>1140</v>
      </c>
      <c r="N133" t="s">
        <v>1141</v>
      </c>
    </row>
    <row r="134" spans="1:16" x14ac:dyDescent="0.45">
      <c r="A134" t="s">
        <v>442</v>
      </c>
      <c r="B134" t="s">
        <v>562</v>
      </c>
      <c r="C134" t="s">
        <v>563</v>
      </c>
      <c r="D134">
        <v>37.339732743931002</v>
      </c>
      <c r="E134">
        <v>126.733539352474</v>
      </c>
      <c r="F134" t="s">
        <v>564</v>
      </c>
      <c r="G134">
        <v>1</v>
      </c>
      <c r="I134" t="str">
        <f>PROPER("TECH UNIVERSITY OF KOREA")</f>
        <v>Tech University Of Korea</v>
      </c>
      <c r="J134" t="s">
        <v>1142</v>
      </c>
      <c r="K134" t="s">
        <v>1143</v>
      </c>
      <c r="L134" t="s">
        <v>567</v>
      </c>
      <c r="M134" t="s">
        <v>1144</v>
      </c>
      <c r="N134" t="s">
        <v>1145</v>
      </c>
      <c r="O134" t="s">
        <v>1146</v>
      </c>
      <c r="P134">
        <v>724</v>
      </c>
    </row>
    <row r="135" spans="1:16" x14ac:dyDescent="0.45">
      <c r="A135" t="s">
        <v>442</v>
      </c>
      <c r="B135" t="s">
        <v>562</v>
      </c>
      <c r="C135" t="s">
        <v>1147</v>
      </c>
      <c r="D135">
        <v>37.330532338520698</v>
      </c>
      <c r="E135">
        <v>126.689488900624</v>
      </c>
      <c r="F135" t="s">
        <v>564</v>
      </c>
      <c r="G135">
        <v>1</v>
      </c>
      <c r="H135" t="s">
        <v>1147</v>
      </c>
      <c r="I135" t="str">
        <f>PROPER("TECH UNIVERSITY OF KOREA")</f>
        <v>Tech University Of Korea</v>
      </c>
      <c r="J135" t="s">
        <v>1148</v>
      </c>
      <c r="K135" t="s">
        <v>1149</v>
      </c>
      <c r="L135" t="s">
        <v>567</v>
      </c>
      <c r="M135" t="s">
        <v>1150</v>
      </c>
      <c r="N135" t="s">
        <v>1151</v>
      </c>
      <c r="P135">
        <v>117</v>
      </c>
    </row>
    <row r="136" spans="1:16" x14ac:dyDescent="0.45">
      <c r="A136" t="s">
        <v>446</v>
      </c>
      <c r="B136" t="s">
        <v>615</v>
      </c>
      <c r="C136" t="s">
        <v>563</v>
      </c>
      <c r="D136">
        <v>36.605666011499999</v>
      </c>
      <c r="E136">
        <v>127.357324457</v>
      </c>
      <c r="F136" t="s">
        <v>564</v>
      </c>
      <c r="G136">
        <v>1</v>
      </c>
      <c r="I136" t="str">
        <f>PROPER("KOREA NATIONAL UNIVERSITY OF EDUCATION")</f>
        <v>Korea National University Of Education</v>
      </c>
      <c r="J136" t="s">
        <v>1152</v>
      </c>
      <c r="K136" t="s">
        <v>1153</v>
      </c>
      <c r="L136" t="s">
        <v>619</v>
      </c>
      <c r="M136" t="s">
        <v>1154</v>
      </c>
      <c r="N136" t="s">
        <v>1155</v>
      </c>
      <c r="P136">
        <v>512</v>
      </c>
    </row>
    <row r="137" spans="1:16" x14ac:dyDescent="0.45">
      <c r="A137" t="s">
        <v>451</v>
      </c>
      <c r="B137" t="s">
        <v>622</v>
      </c>
      <c r="C137" t="s">
        <v>563</v>
      </c>
      <c r="D137">
        <v>36.765104950533001</v>
      </c>
      <c r="E137">
        <v>127.281200389603</v>
      </c>
      <c r="F137" t="s">
        <v>564</v>
      </c>
      <c r="G137">
        <v>1</v>
      </c>
      <c r="I137" t="s">
        <v>454</v>
      </c>
      <c r="J137" t="s">
        <v>451</v>
      </c>
      <c r="K137" t="s">
        <v>1156</v>
      </c>
      <c r="L137" t="s">
        <v>626</v>
      </c>
      <c r="M137" t="s">
        <v>1157</v>
      </c>
      <c r="N137" t="s">
        <v>1158</v>
      </c>
      <c r="P137">
        <v>1</v>
      </c>
    </row>
    <row r="138" spans="1:16" x14ac:dyDescent="0.45">
      <c r="A138" t="s">
        <v>455</v>
      </c>
      <c r="B138" t="s">
        <v>608</v>
      </c>
      <c r="C138" t="s">
        <v>563</v>
      </c>
      <c r="D138">
        <v>37.579195486238198</v>
      </c>
      <c r="E138">
        <v>127.003290880975</v>
      </c>
      <c r="F138" t="s">
        <v>564</v>
      </c>
      <c r="G138">
        <v>1</v>
      </c>
      <c r="I138" t="s">
        <v>459</v>
      </c>
      <c r="J138" t="s">
        <v>1159</v>
      </c>
      <c r="K138" t="s">
        <v>1160</v>
      </c>
      <c r="L138" t="s">
        <v>612</v>
      </c>
      <c r="M138" t="s">
        <v>1161</v>
      </c>
      <c r="N138" t="s">
        <v>1162</v>
      </c>
      <c r="P138">
        <v>348</v>
      </c>
    </row>
    <row r="139" spans="1:16" x14ac:dyDescent="0.45">
      <c r="A139" t="s">
        <v>455</v>
      </c>
      <c r="B139" t="s">
        <v>578</v>
      </c>
      <c r="C139" t="s">
        <v>1163</v>
      </c>
      <c r="D139">
        <v>37.774877641405801</v>
      </c>
      <c r="E139">
        <v>128.930309164758</v>
      </c>
      <c r="F139" t="s">
        <v>572</v>
      </c>
      <c r="G139">
        <v>0</v>
      </c>
      <c r="H139" t="s">
        <v>1163</v>
      </c>
      <c r="I139" t="s">
        <v>459</v>
      </c>
      <c r="J139" t="s">
        <v>1164</v>
      </c>
      <c r="K139" t="s">
        <v>1165</v>
      </c>
      <c r="L139" t="s">
        <v>582</v>
      </c>
      <c r="M139" t="s">
        <v>1166</v>
      </c>
      <c r="N139" t="s">
        <v>1167</v>
      </c>
    </row>
    <row r="140" spans="1:16" x14ac:dyDescent="0.45">
      <c r="A140" t="s">
        <v>455</v>
      </c>
      <c r="B140" t="s">
        <v>1094</v>
      </c>
      <c r="C140" t="s">
        <v>1168</v>
      </c>
      <c r="D140">
        <v>33.4859246408624</v>
      </c>
      <c r="E140">
        <v>126.47363102435899</v>
      </c>
      <c r="F140" t="s">
        <v>564</v>
      </c>
      <c r="G140">
        <v>1</v>
      </c>
      <c r="H140" t="s">
        <v>1168</v>
      </c>
      <c r="I140" t="s">
        <v>459</v>
      </c>
      <c r="J140" t="s">
        <v>1169</v>
      </c>
      <c r="K140" t="s">
        <v>1170</v>
      </c>
      <c r="L140" t="s">
        <v>1098</v>
      </c>
      <c r="M140" t="s">
        <v>1171</v>
      </c>
      <c r="N140" t="s">
        <v>1172</v>
      </c>
      <c r="P140">
        <v>16</v>
      </c>
    </row>
    <row r="141" spans="1:16" x14ac:dyDescent="0.45">
      <c r="A141" t="s">
        <v>455</v>
      </c>
      <c r="B141" t="s">
        <v>850</v>
      </c>
      <c r="C141" t="s">
        <v>1173</v>
      </c>
      <c r="D141">
        <v>35.224025914305599</v>
      </c>
      <c r="E141">
        <v>129.00648123158501</v>
      </c>
      <c r="F141" t="s">
        <v>564</v>
      </c>
      <c r="G141">
        <v>1</v>
      </c>
      <c r="H141" t="s">
        <v>1173</v>
      </c>
      <c r="I141" t="s">
        <v>459</v>
      </c>
      <c r="J141" t="s">
        <v>1174</v>
      </c>
      <c r="K141" t="s">
        <v>1175</v>
      </c>
      <c r="L141" t="s">
        <v>854</v>
      </c>
      <c r="M141" t="s">
        <v>1176</v>
      </c>
      <c r="N141" t="s">
        <v>1177</v>
      </c>
      <c r="P141">
        <v>18</v>
      </c>
    </row>
    <row r="142" spans="1:16" x14ac:dyDescent="0.45">
      <c r="A142" t="s">
        <v>455</v>
      </c>
      <c r="B142" t="s">
        <v>629</v>
      </c>
      <c r="C142" t="s">
        <v>1178</v>
      </c>
      <c r="D142">
        <v>36.4150615773002</v>
      </c>
      <c r="E142">
        <v>127.4010499755</v>
      </c>
      <c r="F142" t="s">
        <v>564</v>
      </c>
      <c r="G142">
        <v>1</v>
      </c>
      <c r="H142" t="s">
        <v>1178</v>
      </c>
      <c r="I142" t="s">
        <v>459</v>
      </c>
      <c r="J142" t="s">
        <v>1179</v>
      </c>
      <c r="K142" t="s">
        <v>1180</v>
      </c>
      <c r="L142" t="s">
        <v>632</v>
      </c>
      <c r="M142" t="s">
        <v>1181</v>
      </c>
      <c r="N142" t="s">
        <v>1182</v>
      </c>
      <c r="P142">
        <v>18</v>
      </c>
    </row>
    <row r="143" spans="1:16" x14ac:dyDescent="0.45">
      <c r="A143" t="s">
        <v>455</v>
      </c>
      <c r="B143" t="s">
        <v>608</v>
      </c>
      <c r="C143" t="s">
        <v>1183</v>
      </c>
      <c r="D143">
        <v>37.547577672747103</v>
      </c>
      <c r="E143">
        <v>127.04567117186799</v>
      </c>
      <c r="F143" t="s">
        <v>564</v>
      </c>
      <c r="G143">
        <v>1</v>
      </c>
      <c r="H143" t="s">
        <v>1183</v>
      </c>
      <c r="I143" t="s">
        <v>459</v>
      </c>
      <c r="J143" t="s">
        <v>1184</v>
      </c>
      <c r="K143" t="s">
        <v>1185</v>
      </c>
      <c r="L143" t="s">
        <v>612</v>
      </c>
      <c r="M143" t="s">
        <v>1186</v>
      </c>
      <c r="N143" t="s">
        <v>1187</v>
      </c>
      <c r="P143">
        <v>77</v>
      </c>
    </row>
    <row r="144" spans="1:16" x14ac:dyDescent="0.45">
      <c r="A144" t="s">
        <v>455</v>
      </c>
      <c r="B144" t="s">
        <v>641</v>
      </c>
      <c r="C144" t="s">
        <v>1188</v>
      </c>
      <c r="D144">
        <v>35.859786520609298</v>
      </c>
      <c r="E144">
        <v>128.49483994005001</v>
      </c>
      <c r="F144" t="s">
        <v>564</v>
      </c>
      <c r="G144">
        <v>1</v>
      </c>
      <c r="H144" t="s">
        <v>1188</v>
      </c>
      <c r="I144" t="s">
        <v>459</v>
      </c>
      <c r="J144" t="s">
        <v>1189</v>
      </c>
      <c r="K144" t="s">
        <v>1190</v>
      </c>
      <c r="L144" t="s">
        <v>645</v>
      </c>
      <c r="M144" t="s">
        <v>1191</v>
      </c>
      <c r="N144" t="s">
        <v>1192</v>
      </c>
      <c r="P144">
        <v>18</v>
      </c>
    </row>
    <row r="145" spans="1:16" x14ac:dyDescent="0.45">
      <c r="A145" t="s">
        <v>455</v>
      </c>
      <c r="B145" t="s">
        <v>608</v>
      </c>
      <c r="C145" t="s">
        <v>1193</v>
      </c>
      <c r="D145">
        <v>37.529493427934902</v>
      </c>
      <c r="E145">
        <v>126.865343486648</v>
      </c>
      <c r="F145" t="s">
        <v>572</v>
      </c>
      <c r="G145">
        <v>0</v>
      </c>
      <c r="H145" t="s">
        <v>1193</v>
      </c>
      <c r="I145" t="s">
        <v>459</v>
      </c>
      <c r="J145" t="s">
        <v>1194</v>
      </c>
      <c r="K145" t="s">
        <v>1195</v>
      </c>
      <c r="L145" t="s">
        <v>612</v>
      </c>
      <c r="M145" t="s">
        <v>1196</v>
      </c>
      <c r="N145" t="s">
        <v>1197</v>
      </c>
    </row>
    <row r="146" spans="1:16" x14ac:dyDescent="0.45">
      <c r="A146" t="s">
        <v>455</v>
      </c>
      <c r="B146" t="s">
        <v>562</v>
      </c>
      <c r="C146" t="s">
        <v>1198</v>
      </c>
      <c r="D146">
        <v>37.650530661648901</v>
      </c>
      <c r="E146">
        <v>126.876447922716</v>
      </c>
      <c r="F146" t="s">
        <v>572</v>
      </c>
      <c r="G146">
        <v>0</v>
      </c>
      <c r="H146" t="s">
        <v>1198</v>
      </c>
      <c r="I146" t="s">
        <v>459</v>
      </c>
      <c r="J146" t="s">
        <v>1199</v>
      </c>
      <c r="K146" t="s">
        <v>1200</v>
      </c>
      <c r="L146" t="s">
        <v>567</v>
      </c>
      <c r="M146" t="s">
        <v>1201</v>
      </c>
      <c r="N146" t="s">
        <v>1202</v>
      </c>
    </row>
    <row r="147" spans="1:16" x14ac:dyDescent="0.45">
      <c r="A147" t="s">
        <v>455</v>
      </c>
      <c r="B147" t="s">
        <v>790</v>
      </c>
      <c r="C147" t="s">
        <v>1203</v>
      </c>
      <c r="D147">
        <v>35.824917698884398</v>
      </c>
      <c r="E147">
        <v>127.14081413335001</v>
      </c>
      <c r="F147" t="s">
        <v>564</v>
      </c>
      <c r="G147">
        <v>1</v>
      </c>
      <c r="H147" t="s">
        <v>1203</v>
      </c>
      <c r="I147" t="s">
        <v>459</v>
      </c>
      <c r="J147" t="s">
        <v>1204</v>
      </c>
      <c r="K147" t="s">
        <v>1205</v>
      </c>
      <c r="L147" t="s">
        <v>793</v>
      </c>
      <c r="M147" t="s">
        <v>1206</v>
      </c>
      <c r="N147" t="s">
        <v>1207</v>
      </c>
      <c r="P147">
        <v>16</v>
      </c>
    </row>
    <row r="148" spans="1:16" x14ac:dyDescent="0.45">
      <c r="A148" t="s">
        <v>455</v>
      </c>
      <c r="B148" t="s">
        <v>578</v>
      </c>
      <c r="C148" t="s">
        <v>1208</v>
      </c>
      <c r="D148">
        <v>37.871341836253102</v>
      </c>
      <c r="E148">
        <v>127.721112538954</v>
      </c>
      <c r="F148" t="s">
        <v>564</v>
      </c>
      <c r="G148">
        <v>1</v>
      </c>
      <c r="H148" t="s">
        <v>1208</v>
      </c>
      <c r="I148" t="s">
        <v>459</v>
      </c>
      <c r="J148" t="s">
        <v>1209</v>
      </c>
      <c r="K148" t="s">
        <v>1210</v>
      </c>
      <c r="L148" t="s">
        <v>582</v>
      </c>
      <c r="M148" t="s">
        <v>1211</v>
      </c>
      <c r="N148" t="s">
        <v>1212</v>
      </c>
      <c r="P148">
        <v>21</v>
      </c>
    </row>
    <row r="149" spans="1:16" x14ac:dyDescent="0.45">
      <c r="A149" t="s">
        <v>455</v>
      </c>
      <c r="B149" t="s">
        <v>1019</v>
      </c>
      <c r="C149" t="s">
        <v>1213</v>
      </c>
      <c r="D149">
        <v>35.578469518189003</v>
      </c>
      <c r="E149">
        <v>129.31428901957599</v>
      </c>
      <c r="F149" t="s">
        <v>564</v>
      </c>
      <c r="G149">
        <v>1</v>
      </c>
      <c r="H149" t="s">
        <v>1213</v>
      </c>
      <c r="I149" t="s">
        <v>459</v>
      </c>
      <c r="J149" t="s">
        <v>1214</v>
      </c>
      <c r="K149" t="s">
        <v>1215</v>
      </c>
      <c r="L149" t="s">
        <v>1022</v>
      </c>
      <c r="M149" t="s">
        <v>1216</v>
      </c>
      <c r="N149" t="s">
        <v>1217</v>
      </c>
      <c r="P149">
        <v>20</v>
      </c>
    </row>
    <row r="150" spans="1:16" x14ac:dyDescent="0.45">
      <c r="A150" t="s">
        <v>455</v>
      </c>
      <c r="B150" t="s">
        <v>570</v>
      </c>
      <c r="C150" t="s">
        <v>1218</v>
      </c>
      <c r="D150">
        <v>37.452846457859103</v>
      </c>
      <c r="E150">
        <v>126.70444113484101</v>
      </c>
      <c r="F150" t="s">
        <v>564</v>
      </c>
      <c r="G150">
        <v>1</v>
      </c>
      <c r="H150" t="s">
        <v>1218</v>
      </c>
      <c r="I150" t="s">
        <v>459</v>
      </c>
      <c r="J150" t="s">
        <v>1219</v>
      </c>
      <c r="K150" t="s">
        <v>1220</v>
      </c>
      <c r="L150" t="s">
        <v>575</v>
      </c>
      <c r="M150" t="s">
        <v>1221</v>
      </c>
      <c r="N150" t="s">
        <v>1222</v>
      </c>
      <c r="P150">
        <v>22</v>
      </c>
    </row>
    <row r="151" spans="1:16" x14ac:dyDescent="0.45">
      <c r="A151" t="s">
        <v>455</v>
      </c>
      <c r="B151" t="s">
        <v>615</v>
      </c>
      <c r="C151" t="s">
        <v>1223</v>
      </c>
      <c r="D151">
        <v>36.624135402792497</v>
      </c>
      <c r="E151">
        <v>127.467760150218</v>
      </c>
      <c r="F151" t="s">
        <v>564</v>
      </c>
      <c r="G151">
        <v>1</v>
      </c>
      <c r="H151" t="s">
        <v>1223</v>
      </c>
      <c r="I151" t="s">
        <v>459</v>
      </c>
      <c r="J151" t="s">
        <v>1224</v>
      </c>
      <c r="K151" t="s">
        <v>1225</v>
      </c>
      <c r="L151" t="s">
        <v>619</v>
      </c>
      <c r="M151" t="s">
        <v>1226</v>
      </c>
      <c r="N151" t="s">
        <v>1227</v>
      </c>
      <c r="P151">
        <v>16</v>
      </c>
    </row>
    <row r="152" spans="1:16" x14ac:dyDescent="0.45">
      <c r="A152" t="s">
        <v>455</v>
      </c>
      <c r="B152" t="s">
        <v>734</v>
      </c>
      <c r="C152" t="s">
        <v>1228</v>
      </c>
      <c r="D152">
        <v>35.207452048988202</v>
      </c>
      <c r="E152">
        <v>126.836055496404</v>
      </c>
      <c r="F152" t="s">
        <v>564</v>
      </c>
      <c r="G152">
        <v>1</v>
      </c>
      <c r="H152" t="s">
        <v>1228</v>
      </c>
      <c r="I152" t="s">
        <v>459</v>
      </c>
      <c r="J152" t="s">
        <v>1229</v>
      </c>
      <c r="K152" t="s">
        <v>1230</v>
      </c>
      <c r="L152" t="s">
        <v>736</v>
      </c>
      <c r="M152" t="s">
        <v>1231</v>
      </c>
      <c r="N152" t="s">
        <v>1232</v>
      </c>
      <c r="P152">
        <v>18</v>
      </c>
    </row>
    <row r="153" spans="1:16" x14ac:dyDescent="0.45">
      <c r="A153" t="s">
        <v>455</v>
      </c>
      <c r="B153" t="s">
        <v>635</v>
      </c>
      <c r="C153" t="s">
        <v>1233</v>
      </c>
      <c r="D153">
        <v>35.177114382587199</v>
      </c>
      <c r="E153">
        <v>128.56702505472899</v>
      </c>
      <c r="F153" t="s">
        <v>564</v>
      </c>
      <c r="G153">
        <v>1</v>
      </c>
      <c r="H153" t="s">
        <v>1233</v>
      </c>
      <c r="I153" t="s">
        <v>459</v>
      </c>
      <c r="J153" t="s">
        <v>1234</v>
      </c>
      <c r="K153" t="s">
        <v>1235</v>
      </c>
      <c r="L153" t="s">
        <v>638</v>
      </c>
      <c r="M153" t="s">
        <v>1236</v>
      </c>
      <c r="N153" t="s">
        <v>1237</v>
      </c>
    </row>
    <row r="154" spans="1:16" x14ac:dyDescent="0.45">
      <c r="A154" t="s">
        <v>455</v>
      </c>
      <c r="B154" t="s">
        <v>562</v>
      </c>
      <c r="C154" t="s">
        <v>1238</v>
      </c>
      <c r="D154">
        <v>37.2407526695862</v>
      </c>
      <c r="E154">
        <v>126.958242424918</v>
      </c>
      <c r="F154" t="s">
        <v>564</v>
      </c>
      <c r="G154">
        <v>1</v>
      </c>
      <c r="H154" t="s">
        <v>1238</v>
      </c>
      <c r="I154" t="s">
        <v>459</v>
      </c>
      <c r="J154" t="s">
        <v>1239</v>
      </c>
      <c r="K154" t="s">
        <v>1240</v>
      </c>
      <c r="L154" t="s">
        <v>567</v>
      </c>
      <c r="M154" t="s">
        <v>1241</v>
      </c>
      <c r="N154" t="s">
        <v>1242</v>
      </c>
      <c r="P154">
        <v>37</v>
      </c>
    </row>
    <row r="155" spans="1:16" x14ac:dyDescent="0.45">
      <c r="A155" t="s">
        <v>455</v>
      </c>
      <c r="B155" t="s">
        <v>562</v>
      </c>
      <c r="C155" t="s">
        <v>1243</v>
      </c>
      <c r="D155">
        <v>37.349334802556498</v>
      </c>
      <c r="E155">
        <v>127.109521570749</v>
      </c>
      <c r="F155" t="s">
        <v>572</v>
      </c>
      <c r="G155">
        <v>0</v>
      </c>
      <c r="H155" t="s">
        <v>1243</v>
      </c>
      <c r="I155" t="s">
        <v>459</v>
      </c>
      <c r="J155" t="s">
        <v>1244</v>
      </c>
      <c r="K155" t="s">
        <v>1245</v>
      </c>
      <c r="L155" t="s">
        <v>567</v>
      </c>
      <c r="M155" t="s">
        <v>1246</v>
      </c>
      <c r="N155" t="s">
        <v>1247</v>
      </c>
    </row>
    <row r="156" spans="1:16" x14ac:dyDescent="0.45">
      <c r="A156" t="s">
        <v>460</v>
      </c>
      <c r="B156" t="s">
        <v>846</v>
      </c>
      <c r="C156" t="s">
        <v>563</v>
      </c>
      <c r="D156">
        <v>35.010628426144997</v>
      </c>
      <c r="E156">
        <v>126.803293897405</v>
      </c>
      <c r="F156" t="s">
        <v>564</v>
      </c>
      <c r="G156">
        <v>1</v>
      </c>
      <c r="I156" t="s">
        <v>463</v>
      </c>
      <c r="J156" t="s">
        <v>460</v>
      </c>
      <c r="K156" t="s">
        <v>1248</v>
      </c>
      <c r="L156" t="s">
        <v>847</v>
      </c>
      <c r="M156" t="s">
        <v>1249</v>
      </c>
      <c r="N156" t="s">
        <v>1250</v>
      </c>
      <c r="P156">
        <v>40</v>
      </c>
    </row>
    <row r="157" spans="1:16" x14ac:dyDescent="0.45">
      <c r="A157" t="s">
        <v>464</v>
      </c>
      <c r="B157" t="s">
        <v>608</v>
      </c>
      <c r="C157" t="s">
        <v>563</v>
      </c>
      <c r="D157">
        <v>37.598298028999999</v>
      </c>
      <c r="E157">
        <v>127.057941735</v>
      </c>
      <c r="F157" t="s">
        <v>564</v>
      </c>
      <c r="G157">
        <v>1</v>
      </c>
      <c r="I157" t="s">
        <v>468</v>
      </c>
      <c r="J157" t="s">
        <v>1251</v>
      </c>
      <c r="K157" t="s">
        <v>1252</v>
      </c>
      <c r="L157" t="s">
        <v>612</v>
      </c>
      <c r="M157" t="s">
        <v>1253</v>
      </c>
      <c r="N157" t="s">
        <v>1254</v>
      </c>
      <c r="P157">
        <v>640</v>
      </c>
    </row>
    <row r="158" spans="1:16" x14ac:dyDescent="0.45">
      <c r="A158" t="s">
        <v>469</v>
      </c>
      <c r="B158" t="s">
        <v>608</v>
      </c>
      <c r="C158" t="s">
        <v>563</v>
      </c>
      <c r="D158">
        <v>37.519905802477368</v>
      </c>
      <c r="E158">
        <v>127.13200155968519</v>
      </c>
      <c r="F158" t="s">
        <v>564</v>
      </c>
      <c r="G158">
        <v>1</v>
      </c>
      <c r="I158" t="s">
        <v>473</v>
      </c>
      <c r="J158" t="s">
        <v>1255</v>
      </c>
      <c r="K158" t="s">
        <v>473</v>
      </c>
      <c r="L158" t="s">
        <v>612</v>
      </c>
      <c r="M158" t="s">
        <v>1256</v>
      </c>
      <c r="N158" t="s">
        <v>1257</v>
      </c>
      <c r="P158">
        <v>416</v>
      </c>
    </row>
    <row r="159" spans="1:16" x14ac:dyDescent="0.45">
      <c r="A159" t="s">
        <v>474</v>
      </c>
      <c r="B159" t="s">
        <v>562</v>
      </c>
      <c r="C159" t="s">
        <v>563</v>
      </c>
      <c r="D159">
        <v>37.598936882023352</v>
      </c>
      <c r="E159">
        <v>126.8641854672186</v>
      </c>
      <c r="F159" t="s">
        <v>564</v>
      </c>
      <c r="G159">
        <v>1</v>
      </c>
      <c r="I159" t="str">
        <f>PROPER("korea aerospace university")</f>
        <v>Korea Aerospace University</v>
      </c>
      <c r="J159" t="s">
        <v>474</v>
      </c>
      <c r="K159" t="s">
        <v>1258</v>
      </c>
      <c r="L159" t="s">
        <v>567</v>
      </c>
      <c r="M159" t="s">
        <v>1259</v>
      </c>
      <c r="N159" t="s">
        <v>1260</v>
      </c>
      <c r="P159">
        <v>341</v>
      </c>
    </row>
    <row r="160" spans="1:16" x14ac:dyDescent="0.45">
      <c r="A160" t="s">
        <v>479</v>
      </c>
      <c r="B160" t="s">
        <v>850</v>
      </c>
      <c r="C160" t="s">
        <v>563</v>
      </c>
      <c r="D160">
        <v>35.074407769399997</v>
      </c>
      <c r="E160">
        <v>129.08734857900001</v>
      </c>
      <c r="F160" t="s">
        <v>564</v>
      </c>
      <c r="G160">
        <v>1</v>
      </c>
      <c r="I160" t="s">
        <v>483</v>
      </c>
      <c r="J160" t="s">
        <v>1261</v>
      </c>
      <c r="K160" t="s">
        <v>483</v>
      </c>
      <c r="L160" t="s">
        <v>854</v>
      </c>
      <c r="M160" t="s">
        <v>1262</v>
      </c>
      <c r="N160" t="s">
        <v>1263</v>
      </c>
      <c r="O160" t="s">
        <v>1264</v>
      </c>
      <c r="P160">
        <v>237</v>
      </c>
    </row>
    <row r="161" spans="1:16" x14ac:dyDescent="0.45">
      <c r="A161" t="s">
        <v>484</v>
      </c>
      <c r="B161" t="s">
        <v>629</v>
      </c>
      <c r="C161" t="s">
        <v>563</v>
      </c>
      <c r="D161">
        <v>36.352798715399999</v>
      </c>
      <c r="E161">
        <v>127.423308084</v>
      </c>
      <c r="F161" t="s">
        <v>572</v>
      </c>
      <c r="G161">
        <v>0</v>
      </c>
      <c r="I161" t="s">
        <v>488</v>
      </c>
      <c r="J161" t="s">
        <v>1265</v>
      </c>
      <c r="K161" t="s">
        <v>1266</v>
      </c>
      <c r="L161" t="s">
        <v>632</v>
      </c>
      <c r="M161" t="s">
        <v>1267</v>
      </c>
      <c r="N161" t="s">
        <v>1268</v>
      </c>
      <c r="O161" t="s">
        <v>1269</v>
      </c>
    </row>
    <row r="162" spans="1:16" x14ac:dyDescent="0.45">
      <c r="A162" t="s">
        <v>484</v>
      </c>
      <c r="B162" t="s">
        <v>629</v>
      </c>
      <c r="C162" t="s">
        <v>1270</v>
      </c>
      <c r="D162">
        <v>36.399557767899999</v>
      </c>
      <c r="E162">
        <v>127.390766004</v>
      </c>
      <c r="F162" t="s">
        <v>572</v>
      </c>
      <c r="G162">
        <v>0</v>
      </c>
      <c r="H162" t="s">
        <v>1270</v>
      </c>
      <c r="I162" t="s">
        <v>488</v>
      </c>
      <c r="J162" t="s">
        <v>1271</v>
      </c>
      <c r="K162" t="s">
        <v>1272</v>
      </c>
      <c r="L162" t="s">
        <v>632</v>
      </c>
      <c r="M162" t="s">
        <v>1273</v>
      </c>
      <c r="N162" t="s">
        <v>1274</v>
      </c>
    </row>
    <row r="163" spans="1:16" x14ac:dyDescent="0.45">
      <c r="A163" t="s">
        <v>489</v>
      </c>
      <c r="B163" t="s">
        <v>690</v>
      </c>
      <c r="C163" t="s">
        <v>563</v>
      </c>
      <c r="D163">
        <v>36.102301985899999</v>
      </c>
      <c r="E163">
        <v>129.38926507599999</v>
      </c>
      <c r="F163" t="s">
        <v>564</v>
      </c>
      <c r="G163">
        <v>1</v>
      </c>
      <c r="I163" t="s">
        <v>493</v>
      </c>
      <c r="J163" t="s">
        <v>489</v>
      </c>
      <c r="K163" t="s">
        <v>493</v>
      </c>
      <c r="L163" t="s">
        <v>691</v>
      </c>
      <c r="M163" t="s">
        <v>1275</v>
      </c>
      <c r="N163" t="s">
        <v>1276</v>
      </c>
      <c r="P163">
        <v>359</v>
      </c>
    </row>
    <row r="164" spans="1:16" x14ac:dyDescent="0.45">
      <c r="A164" t="s">
        <v>494</v>
      </c>
      <c r="B164" t="s">
        <v>578</v>
      </c>
      <c r="C164" t="s">
        <v>563</v>
      </c>
      <c r="D164">
        <v>37.886106161905211</v>
      </c>
      <c r="E164">
        <v>127.739903789861</v>
      </c>
      <c r="F164" t="s">
        <v>564</v>
      </c>
      <c r="G164">
        <v>1</v>
      </c>
      <c r="I164" t="s">
        <v>497</v>
      </c>
      <c r="J164" t="s">
        <v>494</v>
      </c>
      <c r="K164" t="s">
        <v>497</v>
      </c>
      <c r="L164" t="s">
        <v>582</v>
      </c>
      <c r="M164" t="s">
        <v>1277</v>
      </c>
      <c r="N164" t="s">
        <v>1278</v>
      </c>
      <c r="P164">
        <v>944</v>
      </c>
    </row>
    <row r="165" spans="1:16" x14ac:dyDescent="0.45">
      <c r="A165" t="s">
        <v>498</v>
      </c>
      <c r="B165" t="s">
        <v>562</v>
      </c>
      <c r="C165" t="s">
        <v>563</v>
      </c>
      <c r="D165">
        <v>37.344146204799998</v>
      </c>
      <c r="E165">
        <v>126.95385565399999</v>
      </c>
      <c r="F165" t="s">
        <v>572</v>
      </c>
      <c r="G165">
        <v>0</v>
      </c>
      <c r="I165" t="s">
        <v>502</v>
      </c>
      <c r="J165" t="s">
        <v>498</v>
      </c>
      <c r="K165" t="s">
        <v>502</v>
      </c>
      <c r="L165" t="s">
        <v>567</v>
      </c>
      <c r="M165" t="s">
        <v>1279</v>
      </c>
      <c r="N165" t="s">
        <v>1280</v>
      </c>
    </row>
    <row r="166" spans="1:16" x14ac:dyDescent="0.45">
      <c r="A166" t="s">
        <v>503</v>
      </c>
      <c r="B166" t="s">
        <v>608</v>
      </c>
      <c r="C166" t="s">
        <v>563</v>
      </c>
      <c r="D166">
        <v>37.5582766359</v>
      </c>
      <c r="E166">
        <v>127.048231781</v>
      </c>
      <c r="F166" t="s">
        <v>564</v>
      </c>
      <c r="G166">
        <v>1</v>
      </c>
      <c r="I166" t="s">
        <v>506</v>
      </c>
      <c r="J166" t="s">
        <v>1281</v>
      </c>
      <c r="K166" t="s">
        <v>1282</v>
      </c>
      <c r="L166" t="s">
        <v>612</v>
      </c>
      <c r="M166" t="s">
        <v>1283</v>
      </c>
      <c r="N166" t="s">
        <v>1284</v>
      </c>
      <c r="P166">
        <v>2525</v>
      </c>
    </row>
    <row r="167" spans="1:16" x14ac:dyDescent="0.45">
      <c r="A167" t="s">
        <v>503</v>
      </c>
      <c r="B167" t="s">
        <v>562</v>
      </c>
      <c r="C167" t="s">
        <v>1285</v>
      </c>
      <c r="D167">
        <v>37.298003742799999</v>
      </c>
      <c r="E167">
        <v>126.83439338399999</v>
      </c>
      <c r="F167" t="s">
        <v>564</v>
      </c>
      <c r="G167">
        <v>1</v>
      </c>
      <c r="H167" t="s">
        <v>1285</v>
      </c>
      <c r="I167" t="s">
        <v>506</v>
      </c>
      <c r="J167" t="s">
        <v>1286</v>
      </c>
      <c r="K167" t="s">
        <v>1287</v>
      </c>
      <c r="L167" t="s">
        <v>567</v>
      </c>
      <c r="M167" t="s">
        <v>1288</v>
      </c>
      <c r="N167" t="s">
        <v>1289</v>
      </c>
      <c r="P167">
        <v>982</v>
      </c>
    </row>
    <row r="168" spans="1:16" x14ac:dyDescent="0.45">
      <c r="A168" t="s">
        <v>507</v>
      </c>
      <c r="B168" t="s">
        <v>734</v>
      </c>
      <c r="C168" t="s">
        <v>563</v>
      </c>
      <c r="D168">
        <v>35.14996891443252</v>
      </c>
      <c r="E168">
        <v>126.7650386958359</v>
      </c>
      <c r="F168" t="s">
        <v>564</v>
      </c>
      <c r="G168">
        <v>1</v>
      </c>
      <c r="I168" t="s">
        <v>510</v>
      </c>
      <c r="J168" t="s">
        <v>1290</v>
      </c>
      <c r="K168" t="s">
        <v>1291</v>
      </c>
      <c r="L168" t="s">
        <v>736</v>
      </c>
      <c r="M168" t="s">
        <v>1292</v>
      </c>
      <c r="N168" t="s">
        <v>1293</v>
      </c>
      <c r="O168" t="s">
        <v>1294</v>
      </c>
      <c r="P168">
        <v>617</v>
      </c>
    </row>
    <row r="169" spans="1:16" x14ac:dyDescent="0.45">
      <c r="A169" t="s">
        <v>511</v>
      </c>
      <c r="B169" t="s">
        <v>721</v>
      </c>
      <c r="C169" t="s">
        <v>722</v>
      </c>
      <c r="D169">
        <v>36.619775328690899</v>
      </c>
      <c r="E169">
        <v>127.288098013088</v>
      </c>
      <c r="F169" t="s">
        <v>572</v>
      </c>
      <c r="G169">
        <v>0</v>
      </c>
      <c r="H169" t="s">
        <v>722</v>
      </c>
      <c r="I169" t="str">
        <f>PROPER("HONGIK UNIVERSITY")</f>
        <v>Hongik University</v>
      </c>
      <c r="J169" t="s">
        <v>1295</v>
      </c>
      <c r="K169" t="s">
        <v>1296</v>
      </c>
      <c r="L169" t="s">
        <v>725</v>
      </c>
      <c r="M169" t="s">
        <v>1297</v>
      </c>
      <c r="N169" t="s">
        <v>1298</v>
      </c>
      <c r="O169" t="s">
        <v>1299</v>
      </c>
      <c r="P169">
        <v>1291</v>
      </c>
    </row>
    <row r="170" spans="1:16" x14ac:dyDescent="0.45">
      <c r="A170" t="s">
        <v>511</v>
      </c>
      <c r="B170" t="s">
        <v>608</v>
      </c>
      <c r="C170" t="s">
        <v>563</v>
      </c>
      <c r="D170">
        <v>37.5525245968145</v>
      </c>
      <c r="E170">
        <v>126.92503554220001</v>
      </c>
      <c r="F170" t="s">
        <v>564</v>
      </c>
      <c r="G170">
        <v>1</v>
      </c>
      <c r="I170" t="str">
        <f>PROPER("HONGIK UNIVERSITY")</f>
        <v>Hongik University</v>
      </c>
      <c r="J170" t="s">
        <v>1300</v>
      </c>
      <c r="K170" t="s">
        <v>1301</v>
      </c>
      <c r="L170" t="s">
        <v>612</v>
      </c>
      <c r="M170" t="s">
        <v>1302</v>
      </c>
      <c r="N170" t="s">
        <v>1303</v>
      </c>
      <c r="O170" t="s">
        <v>1299</v>
      </c>
      <c r="P170">
        <v>1291</v>
      </c>
    </row>
    <row r="171" spans="1:16" x14ac:dyDescent="0.45">
      <c r="A171" t="s">
        <v>1304</v>
      </c>
      <c r="B171" t="s">
        <v>721</v>
      </c>
      <c r="C171" t="s">
        <v>563</v>
      </c>
      <c r="D171">
        <v>36.481096852336201</v>
      </c>
      <c r="E171">
        <v>127.309690998723</v>
      </c>
      <c r="F171" t="s">
        <v>564</v>
      </c>
      <c r="G171">
        <v>1</v>
      </c>
      <c r="I171" t="str">
        <f>PROPER("KDISCHOOL")</f>
        <v>Kdischool</v>
      </c>
      <c r="J171" t="s">
        <v>8</v>
      </c>
      <c r="K171" t="s">
        <v>1305</v>
      </c>
      <c r="L171" t="s">
        <v>725</v>
      </c>
      <c r="M171" t="s">
        <v>1306</v>
      </c>
      <c r="N171" t="s">
        <v>1307</v>
      </c>
      <c r="P171">
        <v>439</v>
      </c>
    </row>
    <row r="172" spans="1:16" x14ac:dyDescent="0.45">
      <c r="A172" t="s">
        <v>520</v>
      </c>
      <c r="B172" t="s">
        <v>629</v>
      </c>
      <c r="C172" t="s">
        <v>1308</v>
      </c>
      <c r="D172">
        <v>36.365786</v>
      </c>
      <c r="E172">
        <v>127.35926600000001</v>
      </c>
      <c r="F172" t="s">
        <v>572</v>
      </c>
      <c r="G172">
        <v>0</v>
      </c>
      <c r="H172" t="s">
        <v>520</v>
      </c>
      <c r="I172" t="s">
        <v>1309</v>
      </c>
      <c r="L172" t="s">
        <v>632</v>
      </c>
      <c r="M172" t="s">
        <v>1310</v>
      </c>
      <c r="N172" t="s">
        <v>1311</v>
      </c>
    </row>
    <row r="173" spans="1:16" x14ac:dyDescent="0.45">
      <c r="A173" t="s">
        <v>533</v>
      </c>
      <c r="B173" t="s">
        <v>629</v>
      </c>
      <c r="C173" t="s">
        <v>1308</v>
      </c>
      <c r="D173">
        <v>36.401836000000003</v>
      </c>
      <c r="E173">
        <v>127.40012400000001</v>
      </c>
      <c r="F173" t="s">
        <v>572</v>
      </c>
      <c r="G173">
        <v>0</v>
      </c>
      <c r="H173" t="s">
        <v>533</v>
      </c>
      <c r="I173" t="s">
        <v>537</v>
      </c>
      <c r="L173" t="s">
        <v>632</v>
      </c>
    </row>
    <row r="174" spans="1:16" x14ac:dyDescent="0.45">
      <c r="A174" t="s">
        <v>542</v>
      </c>
      <c r="B174" t="s">
        <v>629</v>
      </c>
      <c r="C174" t="s">
        <v>1312</v>
      </c>
      <c r="D174">
        <v>36.375034999999997</v>
      </c>
      <c r="E174">
        <v>127.39130299999999</v>
      </c>
      <c r="F174" t="s">
        <v>572</v>
      </c>
      <c r="G174">
        <v>0</v>
      </c>
      <c r="H174" t="s">
        <v>1313</v>
      </c>
      <c r="I174" t="s">
        <v>1314</v>
      </c>
      <c r="L174" t="s">
        <v>632</v>
      </c>
    </row>
    <row r="175" spans="1:16" x14ac:dyDescent="0.45">
      <c r="A175" t="s">
        <v>538</v>
      </c>
      <c r="B175" t="s">
        <v>629</v>
      </c>
      <c r="C175" t="s">
        <v>1308</v>
      </c>
      <c r="D175">
        <v>36.387982999999998</v>
      </c>
      <c r="E175">
        <v>127.372314</v>
      </c>
      <c r="F175" t="s">
        <v>572</v>
      </c>
      <c r="G175">
        <v>0</v>
      </c>
      <c r="H175" t="s">
        <v>538</v>
      </c>
      <c r="I175" t="s">
        <v>541</v>
      </c>
      <c r="L175" t="s">
        <v>632</v>
      </c>
    </row>
  </sheetData>
  <autoFilter ref="A1:C171" xr:uid="{00000000-0009-0000-0000-000001000000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1"/>
  <sheetViews>
    <sheetView workbookViewId="0">
      <pane ySplit="1" topLeftCell="A2" activePane="bottomLeft" state="frozen"/>
      <selection pane="bottomLeft"/>
    </sheetView>
  </sheetViews>
  <sheetFormatPr defaultRowHeight="17" x14ac:dyDescent="0.45"/>
  <sheetData>
    <row r="1" spans="1:7" x14ac:dyDescent="0.45">
      <c r="A1" s="1" t="s">
        <v>546</v>
      </c>
      <c r="B1" s="1" t="s">
        <v>548</v>
      </c>
      <c r="C1" s="1" t="s">
        <v>1315</v>
      </c>
      <c r="D1" s="1" t="s">
        <v>1316</v>
      </c>
      <c r="E1" s="1" t="s">
        <v>561</v>
      </c>
      <c r="F1" s="1" t="s">
        <v>549</v>
      </c>
      <c r="G1" s="1" t="s">
        <v>550</v>
      </c>
    </row>
    <row r="2" spans="1:7" x14ac:dyDescent="0.45">
      <c r="A2" t="s">
        <v>15</v>
      </c>
      <c r="B2" t="s">
        <v>563</v>
      </c>
      <c r="C2" t="s">
        <v>1317</v>
      </c>
      <c r="D2" t="s">
        <v>1318</v>
      </c>
      <c r="E2">
        <v>55</v>
      </c>
      <c r="F2">
        <v>37.451751999999999</v>
      </c>
      <c r="G2">
        <v>127.127233</v>
      </c>
    </row>
    <row r="3" spans="1:7" x14ac:dyDescent="0.45">
      <c r="A3" t="s">
        <v>15</v>
      </c>
      <c r="B3" t="s">
        <v>563</v>
      </c>
      <c r="C3" t="s">
        <v>1319</v>
      </c>
      <c r="D3" t="s">
        <v>1320</v>
      </c>
      <c r="E3">
        <v>55</v>
      </c>
      <c r="F3">
        <v>37.451751999999999</v>
      </c>
      <c r="G3">
        <v>127.127233</v>
      </c>
    </row>
    <row r="4" spans="1:7" x14ac:dyDescent="0.45">
      <c r="A4" t="s">
        <v>15</v>
      </c>
      <c r="B4" t="s">
        <v>563</v>
      </c>
      <c r="C4" t="s">
        <v>1321</v>
      </c>
      <c r="D4" t="s">
        <v>1322</v>
      </c>
      <c r="E4">
        <v>30</v>
      </c>
      <c r="F4">
        <v>37.452100999999999</v>
      </c>
      <c r="G4">
        <v>127.12876300000001</v>
      </c>
    </row>
    <row r="5" spans="1:7" x14ac:dyDescent="0.45">
      <c r="A5" t="s">
        <v>15</v>
      </c>
      <c r="B5" t="s">
        <v>563</v>
      </c>
      <c r="C5" t="s">
        <v>1323</v>
      </c>
      <c r="D5" t="s">
        <v>1324</v>
      </c>
      <c r="E5">
        <v>25</v>
      </c>
      <c r="F5">
        <v>37.451791</v>
      </c>
      <c r="G5">
        <v>127.129802</v>
      </c>
    </row>
    <row r="6" spans="1:7" x14ac:dyDescent="0.45">
      <c r="A6" t="s">
        <v>15</v>
      </c>
      <c r="B6" t="s">
        <v>563</v>
      </c>
      <c r="C6" t="s">
        <v>1325</v>
      </c>
      <c r="D6" t="s">
        <v>1326</v>
      </c>
      <c r="E6">
        <v>100</v>
      </c>
      <c r="F6">
        <v>37.450493999999999</v>
      </c>
      <c r="G6">
        <v>127.129689</v>
      </c>
    </row>
    <row r="7" spans="1:7" x14ac:dyDescent="0.45">
      <c r="A7" t="s">
        <v>15</v>
      </c>
      <c r="B7" t="s">
        <v>563</v>
      </c>
      <c r="C7" t="s">
        <v>1327</v>
      </c>
      <c r="D7" t="s">
        <v>1328</v>
      </c>
      <c r="E7">
        <v>25</v>
      </c>
      <c r="F7">
        <v>37.449567999999999</v>
      </c>
      <c r="G7">
        <v>127.129476</v>
      </c>
    </row>
    <row r="8" spans="1:7" x14ac:dyDescent="0.45">
      <c r="A8" t="s">
        <v>15</v>
      </c>
      <c r="B8" t="s">
        <v>563</v>
      </c>
      <c r="C8" t="s">
        <v>1329</v>
      </c>
      <c r="D8" t="s">
        <v>1330</v>
      </c>
      <c r="E8">
        <v>20</v>
      </c>
      <c r="F8">
        <v>37.449841999999997</v>
      </c>
      <c r="G8">
        <v>127.128018</v>
      </c>
    </row>
    <row r="9" spans="1:7" x14ac:dyDescent="0.45">
      <c r="A9" t="s">
        <v>15</v>
      </c>
      <c r="B9" t="s">
        <v>563</v>
      </c>
      <c r="C9" t="s">
        <v>1331</v>
      </c>
      <c r="D9" t="s">
        <v>1332</v>
      </c>
      <c r="E9">
        <v>30</v>
      </c>
      <c r="F9">
        <v>37.449975000000002</v>
      </c>
      <c r="G9">
        <v>127.128901</v>
      </c>
    </row>
    <row r="10" spans="1:7" x14ac:dyDescent="0.45">
      <c r="A10" t="s">
        <v>15</v>
      </c>
      <c r="B10" t="s">
        <v>563</v>
      </c>
      <c r="C10" t="s">
        <v>1333</v>
      </c>
      <c r="D10" t="s">
        <v>1334</v>
      </c>
      <c r="E10">
        <v>15</v>
      </c>
      <c r="F10">
        <v>37.452724000000003</v>
      </c>
      <c r="G10">
        <v>127.130539</v>
      </c>
    </row>
    <row r="11" spans="1:7" x14ac:dyDescent="0.45">
      <c r="A11" t="s">
        <v>15</v>
      </c>
      <c r="B11" t="s">
        <v>563</v>
      </c>
      <c r="C11" t="s">
        <v>1335</v>
      </c>
      <c r="D11" t="s">
        <v>1336</v>
      </c>
      <c r="E11">
        <v>1500</v>
      </c>
      <c r="F11">
        <v>37.452199999999998</v>
      </c>
      <c r="G11">
        <v>127.133</v>
      </c>
    </row>
    <row r="12" spans="1:7" x14ac:dyDescent="0.45">
      <c r="A12" t="s">
        <v>15</v>
      </c>
      <c r="B12" t="s">
        <v>563</v>
      </c>
      <c r="C12" t="s">
        <v>1337</v>
      </c>
      <c r="D12" t="s">
        <v>1338</v>
      </c>
      <c r="E12">
        <v>150</v>
      </c>
      <c r="F12">
        <v>37.450136000000001</v>
      </c>
      <c r="G12">
        <v>127.12719800000001</v>
      </c>
    </row>
    <row r="13" spans="1:7" x14ac:dyDescent="0.45">
      <c r="A13" t="s">
        <v>15</v>
      </c>
      <c r="B13" t="s">
        <v>563</v>
      </c>
      <c r="C13" t="s">
        <v>1339</v>
      </c>
      <c r="D13" t="s">
        <v>1340</v>
      </c>
      <c r="E13">
        <v>55</v>
      </c>
      <c r="F13">
        <v>37.449340999999997</v>
      </c>
      <c r="G13">
        <v>127.12834599999999</v>
      </c>
    </row>
    <row r="14" spans="1:7" x14ac:dyDescent="0.45">
      <c r="A14" t="s">
        <v>15</v>
      </c>
      <c r="B14" t="s">
        <v>563</v>
      </c>
      <c r="C14" t="s">
        <v>1341</v>
      </c>
      <c r="D14" t="s">
        <v>1342</v>
      </c>
      <c r="E14">
        <v>50</v>
      </c>
      <c r="F14">
        <v>37.452033</v>
      </c>
      <c r="G14">
        <v>127.131578</v>
      </c>
    </row>
    <row r="15" spans="1:7" x14ac:dyDescent="0.45">
      <c r="A15" t="s">
        <v>15</v>
      </c>
      <c r="B15" t="s">
        <v>563</v>
      </c>
      <c r="C15" t="s">
        <v>1335</v>
      </c>
      <c r="D15" t="s">
        <v>1343</v>
      </c>
      <c r="E15">
        <v>50</v>
      </c>
      <c r="F15">
        <v>37.452437000000003</v>
      </c>
      <c r="G15">
        <v>127.132884</v>
      </c>
    </row>
    <row r="16" spans="1:7" x14ac:dyDescent="0.45">
      <c r="A16" t="s">
        <v>15</v>
      </c>
      <c r="B16" t="s">
        <v>563</v>
      </c>
      <c r="C16" t="s">
        <v>1344</v>
      </c>
      <c r="D16" t="s">
        <v>1345</v>
      </c>
      <c r="E16">
        <v>15</v>
      </c>
      <c r="F16">
        <v>37.453319999999998</v>
      </c>
      <c r="G16">
        <v>127.13395199999999</v>
      </c>
    </row>
    <row r="17" spans="1:7" x14ac:dyDescent="0.45">
      <c r="A17" t="s">
        <v>15</v>
      </c>
      <c r="B17" t="s">
        <v>563</v>
      </c>
      <c r="C17" t="s">
        <v>1346</v>
      </c>
      <c r="D17" t="s">
        <v>1347</v>
      </c>
      <c r="E17">
        <v>185</v>
      </c>
      <c r="F17">
        <v>37.455055999999999</v>
      </c>
      <c r="G17">
        <v>127.134016</v>
      </c>
    </row>
    <row r="18" spans="1:7" x14ac:dyDescent="0.45">
      <c r="A18" t="s">
        <v>15</v>
      </c>
      <c r="B18" t="s">
        <v>571</v>
      </c>
      <c r="C18" t="s">
        <v>1348</v>
      </c>
      <c r="D18" t="s">
        <v>1349</v>
      </c>
      <c r="E18">
        <v>45</v>
      </c>
      <c r="F18">
        <v>37.422472999999997</v>
      </c>
      <c r="G18">
        <v>126.687934</v>
      </c>
    </row>
    <row r="19" spans="1:7" x14ac:dyDescent="0.45">
      <c r="A19" t="s">
        <v>15</v>
      </c>
      <c r="B19" t="s">
        <v>571</v>
      </c>
      <c r="C19" t="s">
        <v>1344</v>
      </c>
      <c r="D19" t="s">
        <v>1345</v>
      </c>
      <c r="E19">
        <v>10</v>
      </c>
      <c r="F19">
        <v>37.422229999999999</v>
      </c>
      <c r="G19">
        <v>126.687625</v>
      </c>
    </row>
    <row r="20" spans="1:7" x14ac:dyDescent="0.45">
      <c r="A20" t="s">
        <v>15</v>
      </c>
      <c r="B20" t="s">
        <v>571</v>
      </c>
      <c r="C20" t="s">
        <v>1350</v>
      </c>
      <c r="D20" t="s">
        <v>1351</v>
      </c>
      <c r="E20">
        <v>40</v>
      </c>
      <c r="F20">
        <v>37.422626000000001</v>
      </c>
      <c r="G20">
        <v>126.688976</v>
      </c>
    </row>
    <row r="21" spans="1:7" x14ac:dyDescent="0.45">
      <c r="A21" t="s">
        <v>15</v>
      </c>
      <c r="B21" t="s">
        <v>571</v>
      </c>
      <c r="C21" t="s">
        <v>1352</v>
      </c>
      <c r="D21" t="s">
        <v>1353</v>
      </c>
      <c r="E21">
        <v>10</v>
      </c>
      <c r="F21">
        <v>37.421962999999998</v>
      </c>
      <c r="G21">
        <v>126.688346</v>
      </c>
    </row>
    <row r="22" spans="1:7" x14ac:dyDescent="0.45">
      <c r="A22" t="s">
        <v>15</v>
      </c>
      <c r="B22" t="s">
        <v>571</v>
      </c>
      <c r="C22" t="s">
        <v>1354</v>
      </c>
      <c r="D22" t="s">
        <v>1355</v>
      </c>
      <c r="E22">
        <v>5</v>
      </c>
      <c r="F22">
        <v>37.422229999999999</v>
      </c>
      <c r="G22">
        <v>126.687625</v>
      </c>
    </row>
    <row r="23" spans="1:7" x14ac:dyDescent="0.45">
      <c r="A23" t="s">
        <v>25</v>
      </c>
      <c r="B23" t="s">
        <v>563</v>
      </c>
      <c r="C23" t="s">
        <v>1356</v>
      </c>
      <c r="D23" t="s">
        <v>1357</v>
      </c>
      <c r="E23">
        <v>1472</v>
      </c>
      <c r="F23">
        <v>37.870699999999999</v>
      </c>
      <c r="G23">
        <v>127.74239</v>
      </c>
    </row>
    <row r="24" spans="1:7" x14ac:dyDescent="0.45">
      <c r="A24" t="s">
        <v>25</v>
      </c>
      <c r="B24" t="s">
        <v>597</v>
      </c>
      <c r="C24" t="s">
        <v>1358</v>
      </c>
      <c r="D24" t="s">
        <v>1359</v>
      </c>
      <c r="E24">
        <v>225</v>
      </c>
      <c r="F24">
        <v>37.223999999999997</v>
      </c>
      <c r="G24">
        <v>129.0968</v>
      </c>
    </row>
    <row r="25" spans="1:7" x14ac:dyDescent="0.45">
      <c r="A25" t="s">
        <v>29</v>
      </c>
      <c r="B25" t="s">
        <v>609</v>
      </c>
      <c r="C25" t="s">
        <v>1360</v>
      </c>
      <c r="D25" t="s">
        <v>1361</v>
      </c>
      <c r="E25">
        <v>2307</v>
      </c>
      <c r="F25">
        <v>37.543286124624501</v>
      </c>
      <c r="G25">
        <v>127.075236736016</v>
      </c>
    </row>
    <row r="26" spans="1:7" x14ac:dyDescent="0.45">
      <c r="A26" t="s">
        <v>29</v>
      </c>
      <c r="B26" t="s">
        <v>616</v>
      </c>
      <c r="C26" t="s">
        <v>616</v>
      </c>
      <c r="D26" t="s">
        <v>1362</v>
      </c>
      <c r="E26">
        <v>800</v>
      </c>
      <c r="F26">
        <v>36.948098999999999</v>
      </c>
      <c r="G26">
        <v>127.907055</v>
      </c>
    </row>
    <row r="27" spans="1:7" x14ac:dyDescent="0.45">
      <c r="A27" t="s">
        <v>34</v>
      </c>
      <c r="B27" t="s">
        <v>1363</v>
      </c>
      <c r="C27" t="s">
        <v>1364</v>
      </c>
      <c r="D27" t="s">
        <v>1365</v>
      </c>
      <c r="E27">
        <v>400</v>
      </c>
      <c r="F27">
        <v>36.183056000000001</v>
      </c>
      <c r="G27">
        <v>127.11130900000001</v>
      </c>
    </row>
    <row r="28" spans="1:7" x14ac:dyDescent="0.45">
      <c r="A28" t="s">
        <v>39</v>
      </c>
      <c r="B28" t="s">
        <v>563</v>
      </c>
      <c r="C28" t="s">
        <v>1366</v>
      </c>
      <c r="D28" t="s">
        <v>1367</v>
      </c>
      <c r="E28">
        <v>6</v>
      </c>
      <c r="F28">
        <v>35.179636000000002</v>
      </c>
      <c r="G28">
        <v>128.55775600000001</v>
      </c>
    </row>
    <row r="29" spans="1:7" x14ac:dyDescent="0.45">
      <c r="A29" t="s">
        <v>39</v>
      </c>
      <c r="B29" t="s">
        <v>563</v>
      </c>
      <c r="C29" t="s">
        <v>1368</v>
      </c>
      <c r="D29" t="s">
        <v>1369</v>
      </c>
      <c r="E29">
        <v>563</v>
      </c>
      <c r="F29">
        <v>35.180399999999999</v>
      </c>
      <c r="G29">
        <v>128.55340000000001</v>
      </c>
    </row>
    <row r="30" spans="1:7" x14ac:dyDescent="0.45">
      <c r="A30" t="s">
        <v>44</v>
      </c>
      <c r="B30" t="s">
        <v>642</v>
      </c>
      <c r="C30" t="s">
        <v>1370</v>
      </c>
      <c r="D30" t="s">
        <v>1371</v>
      </c>
      <c r="E30">
        <v>223</v>
      </c>
      <c r="F30">
        <v>35.8904</v>
      </c>
      <c r="G30">
        <v>128.61199999999999</v>
      </c>
    </row>
    <row r="31" spans="1:7" x14ac:dyDescent="0.45">
      <c r="A31" t="s">
        <v>49</v>
      </c>
      <c r="B31" t="s">
        <v>648</v>
      </c>
      <c r="C31" t="s">
        <v>1372</v>
      </c>
      <c r="D31" t="s">
        <v>1373</v>
      </c>
      <c r="E31">
        <v>85</v>
      </c>
      <c r="F31">
        <v>34.838900000000002</v>
      </c>
      <c r="G31">
        <v>128.399</v>
      </c>
    </row>
    <row r="32" spans="1:7" x14ac:dyDescent="0.45">
      <c r="A32" t="s">
        <v>49</v>
      </c>
      <c r="B32" t="s">
        <v>659</v>
      </c>
      <c r="C32" t="s">
        <v>1374</v>
      </c>
      <c r="D32" t="s">
        <v>1375</v>
      </c>
      <c r="E32">
        <v>435</v>
      </c>
      <c r="F32">
        <v>35.1539</v>
      </c>
      <c r="G32">
        <v>128.102</v>
      </c>
    </row>
    <row r="33" spans="1:7" x14ac:dyDescent="0.45">
      <c r="A33" t="s">
        <v>49</v>
      </c>
      <c r="B33" t="s">
        <v>664</v>
      </c>
      <c r="C33" t="s">
        <v>1376</v>
      </c>
      <c r="D33" t="s">
        <v>1377</v>
      </c>
      <c r="E33">
        <v>39</v>
      </c>
      <c r="F33">
        <v>35.174300000000002</v>
      </c>
      <c r="G33">
        <v>128.095</v>
      </c>
    </row>
    <row r="34" spans="1:7" x14ac:dyDescent="0.45">
      <c r="A34" t="s">
        <v>54</v>
      </c>
      <c r="B34" t="s">
        <v>563</v>
      </c>
      <c r="C34" t="s">
        <v>54</v>
      </c>
      <c r="D34" t="s">
        <v>1378</v>
      </c>
      <c r="E34">
        <v>325</v>
      </c>
      <c r="F34">
        <v>37.538600000000002</v>
      </c>
      <c r="G34">
        <v>126.71599999999999</v>
      </c>
    </row>
    <row r="35" spans="1:7" x14ac:dyDescent="0.45">
      <c r="A35" t="s">
        <v>54</v>
      </c>
      <c r="B35" t="s">
        <v>684</v>
      </c>
      <c r="C35" t="s">
        <v>54</v>
      </c>
      <c r="D35" t="s">
        <v>684</v>
      </c>
      <c r="E35">
        <v>352</v>
      </c>
      <c r="F35">
        <v>37.434399999999997</v>
      </c>
      <c r="G35">
        <v>126.917</v>
      </c>
    </row>
    <row r="36" spans="1:7" x14ac:dyDescent="0.45">
      <c r="A36" t="s">
        <v>62</v>
      </c>
      <c r="B36" t="s">
        <v>608</v>
      </c>
      <c r="C36" t="s">
        <v>609</v>
      </c>
      <c r="D36" t="s">
        <v>1379</v>
      </c>
      <c r="E36">
        <v>1497</v>
      </c>
      <c r="F36">
        <v>37.595300000000002</v>
      </c>
      <c r="G36">
        <v>127.05159999999999</v>
      </c>
    </row>
    <row r="37" spans="1:7" x14ac:dyDescent="0.45">
      <c r="A37" t="s">
        <v>62</v>
      </c>
      <c r="B37" t="s">
        <v>699</v>
      </c>
      <c r="C37" t="s">
        <v>698</v>
      </c>
      <c r="D37" t="s">
        <v>1380</v>
      </c>
      <c r="E37">
        <v>1084</v>
      </c>
      <c r="F37">
        <v>37.242800000000003</v>
      </c>
      <c r="G37">
        <v>127.07859999999999</v>
      </c>
    </row>
    <row r="38" spans="1:7" x14ac:dyDescent="0.45">
      <c r="A38" t="s">
        <v>75</v>
      </c>
      <c r="B38" t="s">
        <v>609</v>
      </c>
      <c r="C38" t="s">
        <v>1381</v>
      </c>
      <c r="E38">
        <v>3533</v>
      </c>
      <c r="F38">
        <v>37.584817000000001</v>
      </c>
      <c r="G38">
        <v>127.02813399999999</v>
      </c>
    </row>
    <row r="39" spans="1:7" x14ac:dyDescent="0.45">
      <c r="A39" t="s">
        <v>75</v>
      </c>
      <c r="B39" t="s">
        <v>722</v>
      </c>
      <c r="C39" t="s">
        <v>1382</v>
      </c>
      <c r="E39">
        <v>686</v>
      </c>
      <c r="F39">
        <v>36.610040159999997</v>
      </c>
      <c r="G39">
        <v>127.28715225000001</v>
      </c>
    </row>
    <row r="40" spans="1:7" x14ac:dyDescent="0.45">
      <c r="A40" t="s">
        <v>80</v>
      </c>
      <c r="B40" t="s">
        <v>563</v>
      </c>
      <c r="C40" t="s">
        <v>1383</v>
      </c>
      <c r="D40" t="s">
        <v>1384</v>
      </c>
      <c r="E40">
        <v>324</v>
      </c>
      <c r="F40">
        <v>36.445250999999999</v>
      </c>
      <c r="G40">
        <v>127.11932899999999</v>
      </c>
    </row>
    <row r="41" spans="1:7" x14ac:dyDescent="0.45">
      <c r="A41" t="s">
        <v>93</v>
      </c>
      <c r="B41" t="s">
        <v>563</v>
      </c>
      <c r="C41" t="s">
        <v>1385</v>
      </c>
      <c r="D41" t="s">
        <v>1386</v>
      </c>
      <c r="E41">
        <v>15</v>
      </c>
      <c r="F41">
        <v>35.105699999999999</v>
      </c>
      <c r="G41">
        <v>126.8951</v>
      </c>
    </row>
    <row r="42" spans="1:7" x14ac:dyDescent="0.45">
      <c r="A42" t="s">
        <v>93</v>
      </c>
      <c r="B42" t="s">
        <v>563</v>
      </c>
      <c r="C42" t="s">
        <v>1370</v>
      </c>
      <c r="D42" t="s">
        <v>1387</v>
      </c>
      <c r="E42">
        <v>30</v>
      </c>
      <c r="F42">
        <v>35.108400000000003</v>
      </c>
      <c r="G42">
        <v>126.87486</v>
      </c>
    </row>
    <row r="43" spans="1:7" x14ac:dyDescent="0.45">
      <c r="A43" t="s">
        <v>98</v>
      </c>
      <c r="B43" t="s">
        <v>563</v>
      </c>
      <c r="C43" t="s">
        <v>1388</v>
      </c>
      <c r="E43">
        <v>1</v>
      </c>
      <c r="F43">
        <v>35.191400000000002</v>
      </c>
      <c r="G43">
        <v>126.8467</v>
      </c>
    </row>
    <row r="44" spans="1:7" x14ac:dyDescent="0.45">
      <c r="A44" t="s">
        <v>117</v>
      </c>
      <c r="B44" t="s">
        <v>781</v>
      </c>
      <c r="C44" t="s">
        <v>1389</v>
      </c>
      <c r="D44" t="s">
        <v>1390</v>
      </c>
      <c r="E44">
        <v>1468</v>
      </c>
      <c r="F44">
        <v>36.351300000000002</v>
      </c>
      <c r="G44">
        <v>127.3</v>
      </c>
    </row>
    <row r="45" spans="1:7" x14ac:dyDescent="0.45">
      <c r="A45" t="s">
        <v>122</v>
      </c>
      <c r="B45" t="s">
        <v>563</v>
      </c>
      <c r="C45" t="s">
        <v>1391</v>
      </c>
      <c r="D45" t="s">
        <v>1392</v>
      </c>
      <c r="E45">
        <v>1156</v>
      </c>
      <c r="F45">
        <v>37.611561999999999</v>
      </c>
      <c r="G45">
        <v>126.997587</v>
      </c>
    </row>
    <row r="46" spans="1:7" x14ac:dyDescent="0.45">
      <c r="A46" t="s">
        <v>127</v>
      </c>
      <c r="B46" t="s">
        <v>563</v>
      </c>
      <c r="C46" t="s">
        <v>1383</v>
      </c>
      <c r="D46" t="s">
        <v>131</v>
      </c>
      <c r="E46">
        <v>1352</v>
      </c>
      <c r="F46">
        <v>35.947035</v>
      </c>
      <c r="G46">
        <v>126.681516</v>
      </c>
    </row>
    <row r="47" spans="1:7" x14ac:dyDescent="0.45">
      <c r="A47" t="s">
        <v>127</v>
      </c>
      <c r="B47" t="s">
        <v>796</v>
      </c>
      <c r="C47" t="s">
        <v>1393</v>
      </c>
      <c r="D47" t="s">
        <v>1394</v>
      </c>
      <c r="E47">
        <v>48</v>
      </c>
      <c r="F47">
        <v>35.961883</v>
      </c>
      <c r="G47">
        <v>126.559631</v>
      </c>
    </row>
    <row r="48" spans="1:7" x14ac:dyDescent="0.45">
      <c r="A48" t="s">
        <v>132</v>
      </c>
      <c r="B48" t="s">
        <v>563</v>
      </c>
      <c r="C48" t="s">
        <v>1370</v>
      </c>
      <c r="D48" t="s">
        <v>1395</v>
      </c>
      <c r="E48">
        <v>315</v>
      </c>
      <c r="F48">
        <v>36.144657000000002</v>
      </c>
      <c r="G48">
        <v>128.39286300000001</v>
      </c>
    </row>
    <row r="49" spans="1:7" x14ac:dyDescent="0.45">
      <c r="A49" t="s">
        <v>137</v>
      </c>
      <c r="B49" t="s">
        <v>563</v>
      </c>
      <c r="C49" t="s">
        <v>1396</v>
      </c>
      <c r="D49" t="s">
        <v>1397</v>
      </c>
      <c r="E49">
        <v>456</v>
      </c>
      <c r="F49">
        <v>36.794499999999999</v>
      </c>
      <c r="G49">
        <v>127.1139</v>
      </c>
    </row>
    <row r="50" spans="1:7" x14ac:dyDescent="0.45">
      <c r="A50" t="s">
        <v>137</v>
      </c>
      <c r="B50" t="s">
        <v>563</v>
      </c>
      <c r="C50" t="s">
        <v>1370</v>
      </c>
      <c r="D50" t="s">
        <v>1387</v>
      </c>
      <c r="E50">
        <v>30</v>
      </c>
      <c r="F50">
        <v>36.736199999999997</v>
      </c>
      <c r="G50">
        <v>127.07470000000001</v>
      </c>
    </row>
    <row r="51" spans="1:7" x14ac:dyDescent="0.45">
      <c r="A51" t="s">
        <v>142</v>
      </c>
      <c r="B51" t="s">
        <v>563</v>
      </c>
      <c r="C51" t="s">
        <v>1398</v>
      </c>
      <c r="D51" t="s">
        <v>1399</v>
      </c>
      <c r="E51">
        <v>111</v>
      </c>
      <c r="F51">
        <v>35.207186</v>
      </c>
      <c r="G51">
        <v>126.842074</v>
      </c>
    </row>
    <row r="52" spans="1:7" x14ac:dyDescent="0.45">
      <c r="A52" t="s">
        <v>147</v>
      </c>
      <c r="B52" t="s">
        <v>811</v>
      </c>
      <c r="C52" t="s">
        <v>1400</v>
      </c>
      <c r="D52" t="s">
        <v>1401</v>
      </c>
      <c r="E52">
        <v>1546</v>
      </c>
      <c r="F52">
        <v>37.3219007</v>
      </c>
      <c r="G52">
        <v>127.1266286</v>
      </c>
    </row>
    <row r="53" spans="1:7" x14ac:dyDescent="0.45">
      <c r="A53" t="s">
        <v>147</v>
      </c>
      <c r="B53" t="s">
        <v>811</v>
      </c>
      <c r="C53" t="s">
        <v>1402</v>
      </c>
      <c r="D53" t="s">
        <v>1403</v>
      </c>
      <c r="E53">
        <v>1266</v>
      </c>
      <c r="F53">
        <v>37.3219007</v>
      </c>
      <c r="G53">
        <v>127.1266286</v>
      </c>
    </row>
    <row r="54" spans="1:7" x14ac:dyDescent="0.45">
      <c r="A54" t="s">
        <v>157</v>
      </c>
      <c r="B54" t="s">
        <v>563</v>
      </c>
      <c r="C54" t="s">
        <v>1404</v>
      </c>
      <c r="D54" t="s">
        <v>1374</v>
      </c>
      <c r="E54">
        <v>759</v>
      </c>
      <c r="F54">
        <v>35.704836999999998</v>
      </c>
      <c r="G54">
        <v>128.45315400000001</v>
      </c>
    </row>
    <row r="55" spans="1:7" x14ac:dyDescent="0.45">
      <c r="A55" t="s">
        <v>166</v>
      </c>
      <c r="B55" t="s">
        <v>563</v>
      </c>
      <c r="C55" t="s">
        <v>1405</v>
      </c>
      <c r="D55" t="s">
        <v>1406</v>
      </c>
      <c r="E55">
        <v>1513</v>
      </c>
      <c r="F55">
        <v>35.900122000000003</v>
      </c>
      <c r="G55">
        <v>128.850719</v>
      </c>
    </row>
    <row r="56" spans="1:7" x14ac:dyDescent="0.45">
      <c r="A56" t="s">
        <v>171</v>
      </c>
      <c r="B56" t="s">
        <v>563</v>
      </c>
      <c r="C56" t="s">
        <v>171</v>
      </c>
      <c r="D56" t="s">
        <v>175</v>
      </c>
      <c r="E56">
        <v>1329</v>
      </c>
      <c r="F56">
        <v>36.336399999999998</v>
      </c>
      <c r="G56">
        <v>127.461</v>
      </c>
    </row>
    <row r="57" spans="1:7" x14ac:dyDescent="0.45">
      <c r="A57" t="s">
        <v>176</v>
      </c>
      <c r="B57" t="s">
        <v>563</v>
      </c>
      <c r="C57" t="s">
        <v>176</v>
      </c>
      <c r="D57" t="s">
        <v>179</v>
      </c>
      <c r="E57">
        <v>736</v>
      </c>
      <c r="F57">
        <v>37.87312</v>
      </c>
      <c r="G57">
        <v>127.15525700000001</v>
      </c>
    </row>
    <row r="58" spans="1:7" x14ac:dyDescent="0.45">
      <c r="A58" t="s">
        <v>180</v>
      </c>
      <c r="B58" t="s">
        <v>563</v>
      </c>
      <c r="C58" t="s">
        <v>1407</v>
      </c>
      <c r="D58" t="s">
        <v>1408</v>
      </c>
      <c r="E58">
        <v>1000</v>
      </c>
      <c r="F58">
        <v>37.558697000000002</v>
      </c>
      <c r="G58">
        <v>127.000283</v>
      </c>
    </row>
    <row r="59" spans="1:7" x14ac:dyDescent="0.45">
      <c r="A59" t="s">
        <v>185</v>
      </c>
      <c r="B59" t="s">
        <v>563</v>
      </c>
      <c r="C59" t="s">
        <v>1335</v>
      </c>
      <c r="D59" t="s">
        <v>1343</v>
      </c>
      <c r="E59">
        <v>739</v>
      </c>
      <c r="F59">
        <v>35.049615000000003</v>
      </c>
      <c r="G59">
        <v>126.71797599999999</v>
      </c>
    </row>
    <row r="60" spans="1:7" x14ac:dyDescent="0.45">
      <c r="A60" t="s">
        <v>189</v>
      </c>
      <c r="B60" t="s">
        <v>851</v>
      </c>
      <c r="C60" t="s">
        <v>1409</v>
      </c>
      <c r="D60" t="s">
        <v>1410</v>
      </c>
      <c r="E60">
        <v>35</v>
      </c>
      <c r="F60">
        <v>35.120975999999999</v>
      </c>
      <c r="G60">
        <v>129.018922</v>
      </c>
    </row>
    <row r="61" spans="1:7" x14ac:dyDescent="0.45">
      <c r="A61" t="s">
        <v>189</v>
      </c>
      <c r="B61" t="s">
        <v>857</v>
      </c>
      <c r="C61" t="s">
        <v>1411</v>
      </c>
      <c r="D61" t="s">
        <v>1412</v>
      </c>
      <c r="E61">
        <v>403</v>
      </c>
      <c r="F61">
        <v>35.115450000000003</v>
      </c>
      <c r="G61">
        <v>128.96752799999999</v>
      </c>
    </row>
    <row r="62" spans="1:7" x14ac:dyDescent="0.45">
      <c r="A62" t="s">
        <v>189</v>
      </c>
      <c r="B62" t="s">
        <v>862</v>
      </c>
      <c r="C62" t="s">
        <v>1413</v>
      </c>
      <c r="D62" t="s">
        <v>1414</v>
      </c>
      <c r="E62">
        <v>186</v>
      </c>
      <c r="F62">
        <v>35.104807999999998</v>
      </c>
      <c r="G62">
        <v>129.018812</v>
      </c>
    </row>
    <row r="63" spans="1:7" x14ac:dyDescent="0.45">
      <c r="A63" t="s">
        <v>193</v>
      </c>
      <c r="B63" t="s">
        <v>563</v>
      </c>
      <c r="C63" t="s">
        <v>1415</v>
      </c>
      <c r="D63" t="s">
        <v>1416</v>
      </c>
      <c r="E63">
        <v>499</v>
      </c>
      <c r="F63">
        <v>35.142533</v>
      </c>
      <c r="G63">
        <v>129.03486699999999</v>
      </c>
    </row>
    <row r="64" spans="1:7" x14ac:dyDescent="0.45">
      <c r="A64" t="s">
        <v>193</v>
      </c>
      <c r="B64" t="s">
        <v>872</v>
      </c>
      <c r="C64" t="s">
        <v>1415</v>
      </c>
      <c r="D64" t="s">
        <v>1416</v>
      </c>
      <c r="E64">
        <v>32</v>
      </c>
      <c r="F64">
        <v>35.169055800000002</v>
      </c>
      <c r="G64">
        <v>129.07678060000001</v>
      </c>
    </row>
    <row r="65" spans="1:7" x14ac:dyDescent="0.45">
      <c r="A65" t="s">
        <v>198</v>
      </c>
      <c r="B65" t="s">
        <v>563</v>
      </c>
      <c r="C65" t="s">
        <v>1383</v>
      </c>
      <c r="E65">
        <v>1640</v>
      </c>
      <c r="F65">
        <v>34.909087999999997</v>
      </c>
      <c r="G65">
        <v>126.434805</v>
      </c>
    </row>
    <row r="66" spans="1:7" x14ac:dyDescent="0.45">
      <c r="A66" t="s">
        <v>203</v>
      </c>
      <c r="B66" t="s">
        <v>563</v>
      </c>
      <c r="C66" t="s">
        <v>1383</v>
      </c>
      <c r="E66">
        <v>1125</v>
      </c>
      <c r="F66">
        <v>34.791283</v>
      </c>
      <c r="G66">
        <v>126.362978</v>
      </c>
    </row>
    <row r="67" spans="1:7" x14ac:dyDescent="0.45">
      <c r="A67" t="s">
        <v>213</v>
      </c>
      <c r="B67" t="s">
        <v>890</v>
      </c>
      <c r="C67" t="s">
        <v>1374</v>
      </c>
      <c r="D67" t="s">
        <v>1375</v>
      </c>
      <c r="E67">
        <v>742</v>
      </c>
      <c r="F67">
        <v>35.134099999999997</v>
      </c>
      <c r="G67">
        <v>129.10300000000001</v>
      </c>
    </row>
    <row r="68" spans="1:7" x14ac:dyDescent="0.45">
      <c r="A68" t="s">
        <v>213</v>
      </c>
      <c r="B68" t="s">
        <v>895</v>
      </c>
      <c r="C68" t="s">
        <v>1417</v>
      </c>
      <c r="D68" t="s">
        <v>1418</v>
      </c>
      <c r="E68">
        <v>161</v>
      </c>
      <c r="F68">
        <v>35.117400000000004</v>
      </c>
      <c r="G68">
        <v>129.09200000000001</v>
      </c>
    </row>
    <row r="69" spans="1:7" x14ac:dyDescent="0.45">
      <c r="A69" t="s">
        <v>218</v>
      </c>
      <c r="B69" t="s">
        <v>563</v>
      </c>
      <c r="C69" t="s">
        <v>1358</v>
      </c>
      <c r="D69" t="s">
        <v>1419</v>
      </c>
      <c r="E69">
        <v>278</v>
      </c>
      <c r="F69">
        <v>35.196696000000003</v>
      </c>
      <c r="G69">
        <v>129.073565</v>
      </c>
    </row>
    <row r="70" spans="1:7" x14ac:dyDescent="0.45">
      <c r="A70" t="s">
        <v>222</v>
      </c>
      <c r="B70" t="s">
        <v>904</v>
      </c>
      <c r="C70" t="s">
        <v>1420</v>
      </c>
      <c r="D70" t="s">
        <v>1421</v>
      </c>
      <c r="E70">
        <v>352</v>
      </c>
      <c r="F70">
        <v>35.327100000000002</v>
      </c>
      <c r="G70">
        <v>129.00399999999999</v>
      </c>
    </row>
    <row r="71" spans="1:7" x14ac:dyDescent="0.45">
      <c r="A71" t="s">
        <v>222</v>
      </c>
      <c r="B71" t="s">
        <v>909</v>
      </c>
      <c r="C71" t="s">
        <v>1422</v>
      </c>
      <c r="D71" t="s">
        <v>1423</v>
      </c>
      <c r="E71">
        <v>1867</v>
      </c>
      <c r="F71">
        <v>35.234400000000001</v>
      </c>
      <c r="G71">
        <v>129.08199999999999</v>
      </c>
    </row>
    <row r="72" spans="1:7" x14ac:dyDescent="0.45">
      <c r="A72" t="s">
        <v>222</v>
      </c>
      <c r="B72" t="s">
        <v>914</v>
      </c>
      <c r="C72" t="s">
        <v>1424</v>
      </c>
      <c r="D72" t="s">
        <v>1425</v>
      </c>
      <c r="E72">
        <v>244</v>
      </c>
      <c r="F72">
        <v>35.453400000000002</v>
      </c>
      <c r="G72">
        <v>128.80799999999999</v>
      </c>
    </row>
    <row r="73" spans="1:7" x14ac:dyDescent="0.45">
      <c r="A73" t="s">
        <v>231</v>
      </c>
      <c r="B73" t="s">
        <v>563</v>
      </c>
      <c r="C73" t="s">
        <v>1426</v>
      </c>
      <c r="D73" t="s">
        <v>1427</v>
      </c>
      <c r="E73">
        <v>1050</v>
      </c>
      <c r="F73">
        <v>37.549917999999998</v>
      </c>
      <c r="G73">
        <v>126.941811</v>
      </c>
    </row>
    <row r="74" spans="1:7" x14ac:dyDescent="0.45">
      <c r="A74" t="s">
        <v>236</v>
      </c>
      <c r="B74" t="s">
        <v>563</v>
      </c>
      <c r="C74" t="s">
        <v>1374</v>
      </c>
      <c r="D74" t="s">
        <v>1428</v>
      </c>
      <c r="E74">
        <v>1201</v>
      </c>
      <c r="F74">
        <v>37.631799999999998</v>
      </c>
      <c r="G74">
        <v>127.08</v>
      </c>
    </row>
    <row r="75" spans="1:7" x14ac:dyDescent="0.45">
      <c r="A75" t="s">
        <v>242</v>
      </c>
      <c r="B75" t="s">
        <v>563</v>
      </c>
      <c r="C75" t="s">
        <v>1429</v>
      </c>
      <c r="D75" t="s">
        <v>1430</v>
      </c>
      <c r="E75">
        <v>717</v>
      </c>
      <c r="F75">
        <v>37.458913000000003</v>
      </c>
      <c r="G75">
        <v>126.95253599999999</v>
      </c>
    </row>
    <row r="76" spans="1:7" x14ac:dyDescent="0.45">
      <c r="A76" t="s">
        <v>248</v>
      </c>
      <c r="B76" t="s">
        <v>563</v>
      </c>
      <c r="C76" t="s">
        <v>1431</v>
      </c>
      <c r="D76" t="s">
        <v>1432</v>
      </c>
      <c r="E76">
        <v>1164</v>
      </c>
      <c r="F76">
        <v>37.582960999999997</v>
      </c>
      <c r="G76">
        <v>127.05865300000001</v>
      </c>
    </row>
    <row r="77" spans="1:7" x14ac:dyDescent="0.45">
      <c r="A77" t="s">
        <v>261</v>
      </c>
      <c r="B77" t="s">
        <v>563</v>
      </c>
      <c r="C77" t="s">
        <v>1433</v>
      </c>
      <c r="D77" t="s">
        <v>1434</v>
      </c>
      <c r="E77">
        <v>236</v>
      </c>
      <c r="F77">
        <v>37.378890200000001</v>
      </c>
      <c r="G77">
        <v>126.9291185</v>
      </c>
    </row>
    <row r="78" spans="1:7" x14ac:dyDescent="0.45">
      <c r="A78" t="s">
        <v>265</v>
      </c>
      <c r="B78" t="s">
        <v>944</v>
      </c>
      <c r="C78" t="s">
        <v>1435</v>
      </c>
      <c r="D78" t="s">
        <v>1436</v>
      </c>
      <c r="E78">
        <v>1053</v>
      </c>
      <c r="F78">
        <v>37.588227000000003</v>
      </c>
      <c r="G78">
        <v>126.993606</v>
      </c>
    </row>
    <row r="79" spans="1:7" x14ac:dyDescent="0.45">
      <c r="A79" t="s">
        <v>265</v>
      </c>
      <c r="B79" t="s">
        <v>949</v>
      </c>
      <c r="C79" t="s">
        <v>1435</v>
      </c>
      <c r="D79" t="s">
        <v>1436</v>
      </c>
      <c r="E79">
        <v>1473</v>
      </c>
      <c r="F79">
        <v>37.293715599999999</v>
      </c>
      <c r="G79">
        <v>126.97433700000001</v>
      </c>
    </row>
    <row r="80" spans="1:7" x14ac:dyDescent="0.45">
      <c r="A80" t="s">
        <v>270</v>
      </c>
      <c r="B80" t="s">
        <v>563</v>
      </c>
      <c r="C80" t="s">
        <v>1437</v>
      </c>
      <c r="D80" t="s">
        <v>1438</v>
      </c>
      <c r="E80">
        <v>494</v>
      </c>
      <c r="F80">
        <v>37.591200000000001</v>
      </c>
      <c r="G80">
        <v>127.02200000000001</v>
      </c>
    </row>
    <row r="81" spans="1:7" x14ac:dyDescent="0.45">
      <c r="A81" t="s">
        <v>270</v>
      </c>
      <c r="B81" t="s">
        <v>1439</v>
      </c>
      <c r="C81" t="s">
        <v>1437</v>
      </c>
      <c r="D81" t="s">
        <v>1438</v>
      </c>
      <c r="E81">
        <v>217</v>
      </c>
      <c r="F81">
        <v>37.631900000000002</v>
      </c>
      <c r="G81">
        <v>127.027</v>
      </c>
    </row>
    <row r="82" spans="1:7" x14ac:dyDescent="0.45">
      <c r="A82" t="s">
        <v>282</v>
      </c>
      <c r="B82" t="s">
        <v>563</v>
      </c>
      <c r="C82" t="s">
        <v>282</v>
      </c>
      <c r="D82" t="s">
        <v>1440</v>
      </c>
      <c r="E82">
        <v>536</v>
      </c>
      <c r="F82">
        <v>37.209539999999997</v>
      </c>
      <c r="G82">
        <v>126.977</v>
      </c>
    </row>
    <row r="83" spans="1:7" x14ac:dyDescent="0.45">
      <c r="A83" t="s">
        <v>291</v>
      </c>
      <c r="B83" t="s">
        <v>563</v>
      </c>
      <c r="C83" t="s">
        <v>1383</v>
      </c>
      <c r="D83" t="s">
        <v>1441</v>
      </c>
      <c r="E83">
        <v>573</v>
      </c>
      <c r="F83">
        <v>34.968000000000004</v>
      </c>
      <c r="G83">
        <v>127.48</v>
      </c>
    </row>
    <row r="84" spans="1:7" x14ac:dyDescent="0.45">
      <c r="A84" t="s">
        <v>291</v>
      </c>
      <c r="B84" t="s">
        <v>563</v>
      </c>
      <c r="C84" t="s">
        <v>1370</v>
      </c>
      <c r="D84" t="s">
        <v>1387</v>
      </c>
      <c r="E84">
        <v>30</v>
      </c>
      <c r="F84">
        <v>34.929099999999998</v>
      </c>
      <c r="G84">
        <v>127.49018</v>
      </c>
    </row>
    <row r="85" spans="1:7" x14ac:dyDescent="0.45">
      <c r="A85" t="s">
        <v>301</v>
      </c>
      <c r="B85" t="s">
        <v>563</v>
      </c>
      <c r="C85" t="s">
        <v>1442</v>
      </c>
      <c r="D85" t="s">
        <v>1443</v>
      </c>
      <c r="E85">
        <v>400</v>
      </c>
      <c r="F85">
        <v>37.709760000000003</v>
      </c>
      <c r="G85">
        <v>127.0449</v>
      </c>
    </row>
    <row r="86" spans="1:7" x14ac:dyDescent="0.45">
      <c r="A86" t="s">
        <v>306</v>
      </c>
      <c r="B86" t="s">
        <v>563</v>
      </c>
      <c r="C86" t="s">
        <v>306</v>
      </c>
      <c r="D86" t="s">
        <v>306</v>
      </c>
      <c r="E86">
        <v>943</v>
      </c>
      <c r="F86">
        <v>37.275300000000001</v>
      </c>
      <c r="G86">
        <v>127.0497</v>
      </c>
    </row>
    <row r="87" spans="1:7" x14ac:dyDescent="0.45">
      <c r="A87" t="s">
        <v>311</v>
      </c>
      <c r="B87" t="s">
        <v>563</v>
      </c>
      <c r="C87" t="s">
        <v>311</v>
      </c>
      <c r="D87" t="s">
        <v>315</v>
      </c>
      <c r="E87">
        <v>2800</v>
      </c>
      <c r="F87">
        <v>37.566378</v>
      </c>
      <c r="G87">
        <v>126.93876</v>
      </c>
    </row>
    <row r="88" spans="1:7" x14ac:dyDescent="0.45">
      <c r="A88" t="s">
        <v>311</v>
      </c>
      <c r="B88" t="s">
        <v>579</v>
      </c>
      <c r="C88" t="s">
        <v>1003</v>
      </c>
      <c r="D88" t="s">
        <v>1444</v>
      </c>
      <c r="E88">
        <v>490</v>
      </c>
      <c r="F88">
        <v>37.279960000000003</v>
      </c>
      <c r="G88">
        <v>127.90167</v>
      </c>
    </row>
    <row r="89" spans="1:7" x14ac:dyDescent="0.45">
      <c r="A89" t="s">
        <v>325</v>
      </c>
      <c r="B89" t="s">
        <v>563</v>
      </c>
      <c r="C89" t="s">
        <v>1445</v>
      </c>
      <c r="E89">
        <v>1200</v>
      </c>
      <c r="F89">
        <v>35.631399999999999</v>
      </c>
      <c r="G89">
        <v>129.0823</v>
      </c>
    </row>
    <row r="90" spans="1:7" x14ac:dyDescent="0.45">
      <c r="A90" t="s">
        <v>329</v>
      </c>
      <c r="B90" t="s">
        <v>563</v>
      </c>
      <c r="C90" t="s">
        <v>1446</v>
      </c>
      <c r="D90" t="s">
        <v>1447</v>
      </c>
      <c r="E90">
        <v>677</v>
      </c>
      <c r="F90">
        <v>35.546500000000002</v>
      </c>
      <c r="G90">
        <v>129.256</v>
      </c>
    </row>
    <row r="91" spans="1:7" x14ac:dyDescent="0.45">
      <c r="A91" t="s">
        <v>337</v>
      </c>
      <c r="B91" t="s">
        <v>563</v>
      </c>
      <c r="C91" t="s">
        <v>1448</v>
      </c>
      <c r="D91" t="s">
        <v>1449</v>
      </c>
      <c r="E91">
        <v>380</v>
      </c>
      <c r="F91">
        <v>35.972494079999997</v>
      </c>
      <c r="G91">
        <v>126.95466931</v>
      </c>
    </row>
    <row r="92" spans="1:7" x14ac:dyDescent="0.45">
      <c r="A92" t="s">
        <v>360</v>
      </c>
      <c r="B92" t="s">
        <v>563</v>
      </c>
      <c r="C92" t="s">
        <v>360</v>
      </c>
      <c r="D92" t="s">
        <v>363</v>
      </c>
      <c r="E92">
        <v>750</v>
      </c>
      <c r="F92">
        <v>37.449371999999997</v>
      </c>
      <c r="G92">
        <v>126.654397</v>
      </c>
    </row>
    <row r="93" spans="1:7" x14ac:dyDescent="0.45">
      <c r="A93" t="s">
        <v>369</v>
      </c>
      <c r="B93" t="s">
        <v>1056</v>
      </c>
      <c r="C93" t="s">
        <v>1450</v>
      </c>
      <c r="D93" t="s">
        <v>1451</v>
      </c>
      <c r="E93">
        <v>162</v>
      </c>
      <c r="F93">
        <v>35.057535999999999</v>
      </c>
      <c r="G93">
        <v>127.002837</v>
      </c>
    </row>
    <row r="94" spans="1:7" x14ac:dyDescent="0.45">
      <c r="A94" t="s">
        <v>369</v>
      </c>
      <c r="B94" t="s">
        <v>1061</v>
      </c>
      <c r="C94" t="s">
        <v>1344</v>
      </c>
      <c r="D94" t="s">
        <v>1452</v>
      </c>
      <c r="E94">
        <v>156</v>
      </c>
      <c r="F94">
        <v>35.141646999999999</v>
      </c>
      <c r="G94">
        <v>126.923194</v>
      </c>
    </row>
    <row r="95" spans="1:7" x14ac:dyDescent="0.45">
      <c r="A95" t="s">
        <v>369</v>
      </c>
      <c r="B95" t="s">
        <v>1066</v>
      </c>
      <c r="C95" t="s">
        <v>1374</v>
      </c>
      <c r="D95" t="s">
        <v>1453</v>
      </c>
      <c r="E95">
        <v>403</v>
      </c>
      <c r="F95">
        <v>34.775266000000002</v>
      </c>
      <c r="G95">
        <v>127.698944</v>
      </c>
    </row>
    <row r="96" spans="1:7" x14ac:dyDescent="0.45">
      <c r="A96" t="s">
        <v>369</v>
      </c>
      <c r="B96" t="s">
        <v>1071</v>
      </c>
      <c r="C96" t="s">
        <v>1374</v>
      </c>
      <c r="D96" t="s">
        <v>1454</v>
      </c>
      <c r="E96">
        <v>2101</v>
      </c>
      <c r="F96">
        <v>35.175899000000001</v>
      </c>
      <c r="G96">
        <v>126.908608</v>
      </c>
    </row>
    <row r="97" spans="1:7" x14ac:dyDescent="0.45">
      <c r="A97" t="s">
        <v>379</v>
      </c>
      <c r="B97" t="s">
        <v>563</v>
      </c>
      <c r="C97" t="s">
        <v>1455</v>
      </c>
      <c r="D97" t="s">
        <v>1456</v>
      </c>
      <c r="E97">
        <v>249</v>
      </c>
      <c r="F97">
        <v>35.807899999999997</v>
      </c>
      <c r="G97">
        <v>127.1551</v>
      </c>
    </row>
    <row r="98" spans="1:7" x14ac:dyDescent="0.45">
      <c r="A98" t="s">
        <v>389</v>
      </c>
      <c r="B98" t="s">
        <v>563</v>
      </c>
      <c r="C98" t="s">
        <v>389</v>
      </c>
      <c r="D98" t="s">
        <v>392</v>
      </c>
      <c r="E98">
        <v>260</v>
      </c>
      <c r="F98">
        <v>35.809496299999999</v>
      </c>
      <c r="G98">
        <v>127.09084199999999</v>
      </c>
    </row>
    <row r="99" spans="1:7" x14ac:dyDescent="0.45">
      <c r="A99" t="s">
        <v>393</v>
      </c>
      <c r="B99" t="s">
        <v>1095</v>
      </c>
      <c r="C99" t="s">
        <v>1370</v>
      </c>
      <c r="D99" t="s">
        <v>1453</v>
      </c>
      <c r="E99">
        <v>934</v>
      </c>
      <c r="F99">
        <v>33.455911999999998</v>
      </c>
      <c r="G99">
        <v>126.562079</v>
      </c>
    </row>
    <row r="100" spans="1:7" x14ac:dyDescent="0.45">
      <c r="A100" t="s">
        <v>403</v>
      </c>
      <c r="B100" t="s">
        <v>1105</v>
      </c>
      <c r="C100" t="s">
        <v>1435</v>
      </c>
      <c r="D100" t="s">
        <v>1457</v>
      </c>
      <c r="E100">
        <v>996</v>
      </c>
      <c r="F100">
        <v>37.001800000000003</v>
      </c>
      <c r="G100">
        <v>127.2302</v>
      </c>
    </row>
    <row r="101" spans="1:7" x14ac:dyDescent="0.45">
      <c r="A101" t="s">
        <v>403</v>
      </c>
      <c r="B101" t="s">
        <v>1105</v>
      </c>
      <c r="C101" t="s">
        <v>1370</v>
      </c>
      <c r="D101" t="s">
        <v>1387</v>
      </c>
      <c r="E101">
        <v>30</v>
      </c>
      <c r="F101">
        <v>37.05941</v>
      </c>
      <c r="G101">
        <v>127.35818</v>
      </c>
    </row>
    <row r="102" spans="1:7" x14ac:dyDescent="0.45">
      <c r="A102" t="s">
        <v>403</v>
      </c>
      <c r="B102" t="s">
        <v>609</v>
      </c>
      <c r="C102" t="s">
        <v>1435</v>
      </c>
      <c r="D102" t="s">
        <v>1457</v>
      </c>
      <c r="E102">
        <v>2177</v>
      </c>
      <c r="F102">
        <v>37.506968430256997</v>
      </c>
      <c r="G102">
        <v>126.95895327228</v>
      </c>
    </row>
    <row r="103" spans="1:7" x14ac:dyDescent="0.45">
      <c r="A103" t="s">
        <v>413</v>
      </c>
      <c r="B103" t="s">
        <v>563</v>
      </c>
      <c r="C103" t="s">
        <v>1374</v>
      </c>
      <c r="D103" t="s">
        <v>1458</v>
      </c>
      <c r="E103">
        <v>474</v>
      </c>
      <c r="F103">
        <v>36.616067999999999</v>
      </c>
      <c r="G103">
        <v>127.484595</v>
      </c>
    </row>
    <row r="104" spans="1:7" x14ac:dyDescent="0.45">
      <c r="A104" t="s">
        <v>418</v>
      </c>
      <c r="B104" t="s">
        <v>563</v>
      </c>
      <c r="C104" t="s">
        <v>1370</v>
      </c>
      <c r="D104" t="s">
        <v>1375</v>
      </c>
      <c r="E104">
        <v>393</v>
      </c>
      <c r="F104">
        <v>37.859082999999998</v>
      </c>
      <c r="G104">
        <v>127.74783069999999</v>
      </c>
    </row>
    <row r="105" spans="1:7" x14ac:dyDescent="0.45">
      <c r="A105" t="s">
        <v>423</v>
      </c>
      <c r="B105" t="s">
        <v>563</v>
      </c>
      <c r="C105" t="s">
        <v>1374</v>
      </c>
      <c r="D105" t="s">
        <v>1375</v>
      </c>
      <c r="E105">
        <v>2404</v>
      </c>
      <c r="F105">
        <v>36.368830000000003</v>
      </c>
      <c r="G105">
        <v>127.34676</v>
      </c>
    </row>
    <row r="106" spans="1:7" x14ac:dyDescent="0.45">
      <c r="A106" t="s">
        <v>423</v>
      </c>
      <c r="B106" t="s">
        <v>563</v>
      </c>
      <c r="C106" t="s">
        <v>1459</v>
      </c>
      <c r="D106" t="s">
        <v>1460</v>
      </c>
      <c r="E106">
        <v>10</v>
      </c>
      <c r="F106">
        <v>36.383107000000003</v>
      </c>
      <c r="G106">
        <v>127.323239</v>
      </c>
    </row>
    <row r="107" spans="1:7" x14ac:dyDescent="0.45">
      <c r="A107" t="s">
        <v>423</v>
      </c>
      <c r="B107" t="s">
        <v>1128</v>
      </c>
      <c r="C107" t="s">
        <v>1461</v>
      </c>
      <c r="D107" t="s">
        <v>1462</v>
      </c>
      <c r="E107">
        <v>160</v>
      </c>
      <c r="F107">
        <v>36.316769999999998</v>
      </c>
      <c r="G107">
        <v>127.41341799999999</v>
      </c>
    </row>
    <row r="108" spans="1:7" x14ac:dyDescent="0.45">
      <c r="A108" t="s">
        <v>428</v>
      </c>
      <c r="B108" t="s">
        <v>563</v>
      </c>
      <c r="C108" t="s">
        <v>428</v>
      </c>
      <c r="D108" t="s">
        <v>1463</v>
      </c>
      <c r="E108">
        <v>2100</v>
      </c>
      <c r="F108">
        <v>36.626399999999997</v>
      </c>
      <c r="G108">
        <v>127.455</v>
      </c>
    </row>
    <row r="109" spans="1:7" x14ac:dyDescent="0.45">
      <c r="A109" t="s">
        <v>433</v>
      </c>
      <c r="B109" t="s">
        <v>563</v>
      </c>
      <c r="C109" t="s">
        <v>1464</v>
      </c>
      <c r="D109" t="s">
        <v>1465</v>
      </c>
      <c r="E109">
        <v>10</v>
      </c>
      <c r="F109">
        <v>36.727687000000003</v>
      </c>
      <c r="G109">
        <v>127.43808</v>
      </c>
    </row>
    <row r="110" spans="1:7" x14ac:dyDescent="0.45">
      <c r="A110" t="s">
        <v>442</v>
      </c>
      <c r="B110" t="s">
        <v>563</v>
      </c>
      <c r="C110" t="s">
        <v>1466</v>
      </c>
      <c r="D110" t="s">
        <v>445</v>
      </c>
      <c r="E110">
        <v>724</v>
      </c>
      <c r="F110">
        <v>37.340220000000002</v>
      </c>
      <c r="G110">
        <v>126.73363000000001</v>
      </c>
    </row>
    <row r="111" spans="1:7" x14ac:dyDescent="0.45">
      <c r="A111" t="s">
        <v>442</v>
      </c>
      <c r="B111" t="s">
        <v>1147</v>
      </c>
      <c r="C111" t="s">
        <v>1147</v>
      </c>
      <c r="D111" t="s">
        <v>1467</v>
      </c>
      <c r="E111">
        <v>117</v>
      </c>
      <c r="F111">
        <v>37.329537000000002</v>
      </c>
      <c r="G111">
        <v>126.689353</v>
      </c>
    </row>
    <row r="112" spans="1:7" x14ac:dyDescent="0.45">
      <c r="A112" t="s">
        <v>446</v>
      </c>
      <c r="B112" t="s">
        <v>563</v>
      </c>
      <c r="C112" t="s">
        <v>1374</v>
      </c>
      <c r="D112" t="s">
        <v>1375</v>
      </c>
      <c r="E112">
        <v>512</v>
      </c>
      <c r="F112">
        <v>36.608580000000003</v>
      </c>
      <c r="G112">
        <v>127.357254</v>
      </c>
    </row>
    <row r="113" spans="1:7" x14ac:dyDescent="0.45">
      <c r="A113" t="s">
        <v>451</v>
      </c>
      <c r="B113" t="s">
        <v>563</v>
      </c>
      <c r="C113" t="s">
        <v>1468</v>
      </c>
      <c r="D113" t="s">
        <v>1469</v>
      </c>
      <c r="E113">
        <v>1</v>
      </c>
      <c r="F113">
        <v>36.763829999999999</v>
      </c>
      <c r="G113">
        <v>127.2805</v>
      </c>
    </row>
    <row r="114" spans="1:7" x14ac:dyDescent="0.45">
      <c r="A114" t="s">
        <v>455</v>
      </c>
      <c r="B114" t="s">
        <v>563</v>
      </c>
      <c r="C114" t="s">
        <v>1370</v>
      </c>
      <c r="D114" t="s">
        <v>1470</v>
      </c>
      <c r="E114">
        <v>348</v>
      </c>
      <c r="F114">
        <v>37.579478100000003</v>
      </c>
      <c r="G114">
        <v>127.0029667</v>
      </c>
    </row>
    <row r="115" spans="1:7" x14ac:dyDescent="0.45">
      <c r="A115" t="s">
        <v>455</v>
      </c>
      <c r="B115" t="s">
        <v>1168</v>
      </c>
      <c r="C115" t="s">
        <v>1168</v>
      </c>
      <c r="D115" t="s">
        <v>1471</v>
      </c>
      <c r="E115">
        <v>16</v>
      </c>
      <c r="F115">
        <v>33.486151</v>
      </c>
      <c r="G115">
        <v>126.473726</v>
      </c>
    </row>
    <row r="116" spans="1:7" x14ac:dyDescent="0.45">
      <c r="A116" t="s">
        <v>455</v>
      </c>
      <c r="B116" t="s">
        <v>1173</v>
      </c>
      <c r="C116" t="s">
        <v>1173</v>
      </c>
      <c r="D116" t="s">
        <v>1472</v>
      </c>
      <c r="E116">
        <v>18</v>
      </c>
      <c r="F116">
        <v>35.224243000000001</v>
      </c>
      <c r="G116">
        <v>129.00651999999999</v>
      </c>
    </row>
    <row r="117" spans="1:7" x14ac:dyDescent="0.45">
      <c r="A117" t="s">
        <v>455</v>
      </c>
      <c r="B117" t="s">
        <v>1178</v>
      </c>
      <c r="C117" t="s">
        <v>1178</v>
      </c>
      <c r="D117" t="s">
        <v>1473</v>
      </c>
      <c r="E117">
        <v>18</v>
      </c>
      <c r="F117">
        <v>36.41525</v>
      </c>
      <c r="G117">
        <v>127.401264</v>
      </c>
    </row>
    <row r="118" spans="1:7" x14ac:dyDescent="0.45">
      <c r="A118" t="s">
        <v>455</v>
      </c>
      <c r="B118" t="s">
        <v>1183</v>
      </c>
      <c r="C118" t="s">
        <v>1183</v>
      </c>
      <c r="D118" t="s">
        <v>1474</v>
      </c>
      <c r="E118">
        <v>77</v>
      </c>
      <c r="F118">
        <v>37.548307000000001</v>
      </c>
      <c r="G118">
        <v>127.04637200000001</v>
      </c>
    </row>
    <row r="119" spans="1:7" x14ac:dyDescent="0.45">
      <c r="A119" t="s">
        <v>455</v>
      </c>
      <c r="B119" t="s">
        <v>1188</v>
      </c>
      <c r="C119" t="s">
        <v>1188</v>
      </c>
      <c r="D119" t="s">
        <v>1475</v>
      </c>
      <c r="E119">
        <v>18</v>
      </c>
      <c r="F119">
        <v>35.859977000000001</v>
      </c>
      <c r="G119">
        <v>128.494879</v>
      </c>
    </row>
    <row r="120" spans="1:7" x14ac:dyDescent="0.45">
      <c r="A120" t="s">
        <v>455</v>
      </c>
      <c r="B120" t="s">
        <v>1203</v>
      </c>
      <c r="C120" t="s">
        <v>1203</v>
      </c>
      <c r="D120" t="s">
        <v>1476</v>
      </c>
      <c r="E120">
        <v>16</v>
      </c>
      <c r="F120">
        <v>35.825071000000001</v>
      </c>
      <c r="G120">
        <v>127.140927</v>
      </c>
    </row>
    <row r="121" spans="1:7" x14ac:dyDescent="0.45">
      <c r="A121" t="s">
        <v>455</v>
      </c>
      <c r="B121" t="s">
        <v>1208</v>
      </c>
      <c r="C121" t="s">
        <v>1208</v>
      </c>
      <c r="D121" t="s">
        <v>1477</v>
      </c>
      <c r="E121">
        <v>21</v>
      </c>
      <c r="F121">
        <v>37.871322999999997</v>
      </c>
      <c r="G121">
        <v>127.721042</v>
      </c>
    </row>
    <row r="122" spans="1:7" x14ac:dyDescent="0.45">
      <c r="A122" t="s">
        <v>455</v>
      </c>
      <c r="B122" t="s">
        <v>1213</v>
      </c>
      <c r="C122" t="s">
        <v>1213</v>
      </c>
      <c r="D122" t="s">
        <v>1478</v>
      </c>
      <c r="E122">
        <v>20</v>
      </c>
      <c r="F122">
        <v>35.578623999999998</v>
      </c>
      <c r="G122">
        <v>129.31442799999999</v>
      </c>
    </row>
    <row r="123" spans="1:7" x14ac:dyDescent="0.45">
      <c r="A123" t="s">
        <v>455</v>
      </c>
      <c r="B123" t="s">
        <v>1218</v>
      </c>
      <c r="C123" t="s">
        <v>1218</v>
      </c>
      <c r="D123" t="s">
        <v>1479</v>
      </c>
      <c r="E123">
        <v>22</v>
      </c>
      <c r="F123">
        <v>37.452997000000003</v>
      </c>
      <c r="G123">
        <v>126.704387</v>
      </c>
    </row>
    <row r="124" spans="1:7" x14ac:dyDescent="0.45">
      <c r="A124" t="s">
        <v>455</v>
      </c>
      <c r="B124" t="s">
        <v>1223</v>
      </c>
      <c r="C124" t="s">
        <v>1223</v>
      </c>
      <c r="D124" t="s">
        <v>1480</v>
      </c>
      <c r="E124">
        <v>16</v>
      </c>
      <c r="F124">
        <v>36.624301000000003</v>
      </c>
      <c r="G124">
        <v>127.467744</v>
      </c>
    </row>
    <row r="125" spans="1:7" x14ac:dyDescent="0.45">
      <c r="A125" t="s">
        <v>455</v>
      </c>
      <c r="B125" t="s">
        <v>1228</v>
      </c>
      <c r="C125" t="s">
        <v>1228</v>
      </c>
      <c r="D125" t="s">
        <v>1481</v>
      </c>
      <c r="E125">
        <v>18</v>
      </c>
      <c r="F125">
        <v>35.207445999999997</v>
      </c>
      <c r="G125">
        <v>126.836399</v>
      </c>
    </row>
    <row r="126" spans="1:7" x14ac:dyDescent="0.45">
      <c r="A126" t="s">
        <v>455</v>
      </c>
      <c r="B126" t="s">
        <v>1238</v>
      </c>
      <c r="C126" t="s">
        <v>1238</v>
      </c>
      <c r="D126" t="s">
        <v>1482</v>
      </c>
      <c r="E126">
        <v>37</v>
      </c>
      <c r="F126">
        <v>37.240912000000002</v>
      </c>
      <c r="G126">
        <v>126.958248</v>
      </c>
    </row>
    <row r="127" spans="1:7" x14ac:dyDescent="0.45">
      <c r="A127" t="s">
        <v>460</v>
      </c>
      <c r="B127" t="s">
        <v>563</v>
      </c>
      <c r="C127" t="s">
        <v>1483</v>
      </c>
      <c r="D127" t="s">
        <v>1484</v>
      </c>
      <c r="E127">
        <v>40</v>
      </c>
      <c r="F127">
        <v>35.010490599999997</v>
      </c>
      <c r="G127">
        <v>126.80340529999999</v>
      </c>
    </row>
    <row r="128" spans="1:7" x14ac:dyDescent="0.45">
      <c r="A128" t="s">
        <v>464</v>
      </c>
      <c r="B128" t="s">
        <v>563</v>
      </c>
      <c r="C128" t="s">
        <v>1485</v>
      </c>
      <c r="D128" t="s">
        <v>1486</v>
      </c>
      <c r="E128">
        <v>640</v>
      </c>
      <c r="F128">
        <v>37.597434</v>
      </c>
      <c r="G128">
        <v>127.0567377</v>
      </c>
    </row>
    <row r="129" spans="1:7" x14ac:dyDescent="0.45">
      <c r="A129" t="s">
        <v>469</v>
      </c>
      <c r="B129" t="s">
        <v>563</v>
      </c>
      <c r="C129" t="s">
        <v>1370</v>
      </c>
      <c r="D129" t="s">
        <v>1387</v>
      </c>
      <c r="E129">
        <v>416</v>
      </c>
      <c r="F129">
        <v>37.520150000000001</v>
      </c>
      <c r="G129">
        <v>127.130833</v>
      </c>
    </row>
    <row r="130" spans="1:7" x14ac:dyDescent="0.45">
      <c r="A130" t="s">
        <v>474</v>
      </c>
      <c r="B130" t="s">
        <v>563</v>
      </c>
      <c r="C130" t="s">
        <v>1487</v>
      </c>
      <c r="D130" t="s">
        <v>1488</v>
      </c>
      <c r="E130">
        <v>341</v>
      </c>
      <c r="F130">
        <v>37.599871999999998</v>
      </c>
      <c r="G130">
        <v>126.86517499999999</v>
      </c>
    </row>
    <row r="131" spans="1:7" x14ac:dyDescent="0.45">
      <c r="A131" t="s">
        <v>479</v>
      </c>
      <c r="B131" t="s">
        <v>563</v>
      </c>
      <c r="C131" t="s">
        <v>1261</v>
      </c>
      <c r="D131" t="s">
        <v>1489</v>
      </c>
      <c r="E131">
        <v>237</v>
      </c>
      <c r="F131">
        <v>35.074885000000002</v>
      </c>
      <c r="G131">
        <v>129.088202</v>
      </c>
    </row>
    <row r="132" spans="1:7" x14ac:dyDescent="0.45">
      <c r="A132" t="s">
        <v>489</v>
      </c>
      <c r="B132" t="s">
        <v>563</v>
      </c>
      <c r="C132" t="s">
        <v>1490</v>
      </c>
      <c r="D132" t="s">
        <v>1491</v>
      </c>
      <c r="E132">
        <v>359</v>
      </c>
      <c r="F132">
        <v>36.102817000000002</v>
      </c>
      <c r="G132">
        <v>129.38701699999999</v>
      </c>
    </row>
    <row r="133" spans="1:7" x14ac:dyDescent="0.45">
      <c r="A133" t="s">
        <v>494</v>
      </c>
      <c r="B133" t="s">
        <v>563</v>
      </c>
      <c r="C133" t="s">
        <v>1492</v>
      </c>
      <c r="D133" t="s">
        <v>1493</v>
      </c>
      <c r="E133">
        <v>944</v>
      </c>
      <c r="F133">
        <v>37.886474999999997</v>
      </c>
      <c r="G133">
        <v>127.737751</v>
      </c>
    </row>
    <row r="134" spans="1:7" x14ac:dyDescent="0.45">
      <c r="A134" t="s">
        <v>503</v>
      </c>
      <c r="B134" t="s">
        <v>563</v>
      </c>
      <c r="C134" t="s">
        <v>1494</v>
      </c>
      <c r="D134" t="s">
        <v>1495</v>
      </c>
      <c r="E134">
        <v>488</v>
      </c>
      <c r="F134">
        <v>37.558257243</v>
      </c>
      <c r="G134">
        <v>127.04952785899999</v>
      </c>
    </row>
    <row r="135" spans="1:7" x14ac:dyDescent="0.45">
      <c r="A135" t="s">
        <v>503</v>
      </c>
      <c r="B135" t="s">
        <v>563</v>
      </c>
      <c r="C135" t="s">
        <v>1435</v>
      </c>
      <c r="D135" t="s">
        <v>1457</v>
      </c>
      <c r="E135">
        <v>2037</v>
      </c>
      <c r="F135">
        <v>37.555900000000001</v>
      </c>
      <c r="G135">
        <v>127.04600000000001</v>
      </c>
    </row>
    <row r="136" spans="1:7" x14ac:dyDescent="0.45">
      <c r="A136" t="s">
        <v>503</v>
      </c>
      <c r="B136" t="s">
        <v>1285</v>
      </c>
      <c r="C136" t="s">
        <v>1496</v>
      </c>
      <c r="D136" t="s">
        <v>1497</v>
      </c>
      <c r="E136">
        <v>982</v>
      </c>
      <c r="F136">
        <v>37.296799999999998</v>
      </c>
      <c r="G136">
        <v>126.8361</v>
      </c>
    </row>
    <row r="137" spans="1:7" x14ac:dyDescent="0.45">
      <c r="A137" t="s">
        <v>507</v>
      </c>
      <c r="B137" t="s">
        <v>563</v>
      </c>
      <c r="C137" t="s">
        <v>1498</v>
      </c>
      <c r="D137" t="s">
        <v>1499</v>
      </c>
      <c r="E137">
        <v>617</v>
      </c>
      <c r="F137">
        <v>35.151021999999998</v>
      </c>
      <c r="G137">
        <v>126.769569</v>
      </c>
    </row>
    <row r="138" spans="1:7" x14ac:dyDescent="0.45">
      <c r="A138" t="s">
        <v>511</v>
      </c>
      <c r="B138" t="s">
        <v>563</v>
      </c>
      <c r="C138" t="s">
        <v>1500</v>
      </c>
      <c r="D138" t="s">
        <v>1501</v>
      </c>
      <c r="E138">
        <v>91</v>
      </c>
      <c r="F138">
        <v>36.636600000000001</v>
      </c>
      <c r="G138">
        <v>127.32456000000001</v>
      </c>
    </row>
    <row r="139" spans="1:7" x14ac:dyDescent="0.45">
      <c r="A139" t="s">
        <v>511</v>
      </c>
      <c r="B139" t="s">
        <v>563</v>
      </c>
      <c r="C139" t="s">
        <v>1383</v>
      </c>
      <c r="D139" t="s">
        <v>1502</v>
      </c>
      <c r="E139">
        <v>1200</v>
      </c>
      <c r="F139">
        <v>37.552635722509002</v>
      </c>
      <c r="G139">
        <v>126.92436042413</v>
      </c>
    </row>
    <row r="140" spans="1:7" x14ac:dyDescent="0.45">
      <c r="A140" t="s">
        <v>8</v>
      </c>
      <c r="B140" t="s">
        <v>563</v>
      </c>
      <c r="C140" t="s">
        <v>1503</v>
      </c>
      <c r="D140" t="s">
        <v>12</v>
      </c>
      <c r="E140">
        <v>414</v>
      </c>
      <c r="F140">
        <v>36.481231371290399</v>
      </c>
      <c r="G140">
        <v>127.31022058612901</v>
      </c>
    </row>
    <row r="141" spans="1:7" x14ac:dyDescent="0.45">
      <c r="A141" t="s">
        <v>8</v>
      </c>
      <c r="B141" t="s">
        <v>563</v>
      </c>
      <c r="C141" t="s">
        <v>722</v>
      </c>
      <c r="D141" t="s">
        <v>1504</v>
      </c>
      <c r="E141">
        <v>25</v>
      </c>
      <c r="F141">
        <v>36.501199999999997</v>
      </c>
      <c r="G141">
        <v>127.3249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inst</vt:lpstr>
      <vt:lpstr>campus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Kisti</cp:lastModifiedBy>
  <dcterms:created xsi:type="dcterms:W3CDTF">2026-04-23T03:35:52Z</dcterms:created>
  <dcterms:modified xsi:type="dcterms:W3CDTF">2026-05-07T05:08:57Z</dcterms:modified>
</cp:coreProperties>
</file>